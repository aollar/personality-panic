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Personalities" sheetId="3" state="visible" r:id="rId3"/>
    <sheet xmlns:r="http://schemas.openxmlformats.org/officeDocument/2006/relationships" name="Balance_Audit" sheetId="4" state="visible" r:id="rId4"/>
    <sheet xmlns:r="http://schemas.openxmlformats.org/officeDocument/2006/relationships" name="Building_Map" sheetId="5" state="visible" r:id="rId5"/>
    <sheet xmlns:r="http://schemas.openxmlformats.org/officeDocument/2006/relationships" name="CPU_Difficulty" sheetId="6" state="visible" r:id="rId6"/>
    <sheet xmlns:r="http://schemas.openxmlformats.org/officeDocument/2006/relationships" name="Actions_Master" sheetId="7" state="visible" r:id="rId7"/>
    <sheet xmlns:r="http://schemas.openxmlformats.org/officeDocument/2006/relationships" name="Items_Mall" sheetId="8" state="visible" r:id="rId8"/>
    <sheet xmlns:r="http://schemas.openxmlformats.org/officeDocument/2006/relationships" name="Jobs_Named" sheetId="9" state="visible" r:id="rId9"/>
    <sheet xmlns:r="http://schemas.openxmlformats.org/officeDocument/2006/relationships" name="Pets" sheetId="10" state="visible" r:id="rId10"/>
    <sheet xmlns:r="http://schemas.openxmlformats.org/officeDocument/2006/relationships" name="Jobs_Tiers" sheetId="11" state="visible" r:id="rId11"/>
    <sheet xmlns:r="http://schemas.openxmlformats.org/officeDocument/2006/relationships" name="Audio_Music" sheetId="12" state="visible" r:id="rId12"/>
    <sheet xmlns:r="http://schemas.openxmlformats.org/officeDocument/2006/relationships" name="Audio_SFX" sheetId="13" state="visible" r:id="rId13"/>
    <sheet xmlns:r="http://schemas.openxmlformats.org/officeDocument/2006/relationships" name="Cards" sheetId="14" state="visible" r:id="rId14"/>
    <sheet xmlns:r="http://schemas.openxmlformats.org/officeDocument/2006/relationships" name="Investments" sheetId="15" state="visible" r:id="rId15"/>
    <sheet xmlns:r="http://schemas.openxmlformats.org/officeDocument/2006/relationships" name="Education_Paths" sheetId="16" state="visible" r:id="rId16"/>
    <sheet xmlns:r="http://schemas.openxmlformats.org/officeDocument/2006/relationships" name="Job_Progression" sheetId="17" state="visible" r:id="rId17"/>
    <sheet xmlns:r="http://schemas.openxmlformats.org/officeDocument/2006/relationships" name="Build_Notes"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2F5496"/>
      <sz val="14"/>
    </font>
    <font>
      <name val="Arial"/>
      <charset val="1"/>
      <family val="0"/>
      <b val="1"/>
      <sz val="11"/>
    </font>
    <font>
      <name val="Arial"/>
      <charset val="1"/>
      <family val="0"/>
      <sz val="11"/>
    </font>
    <font>
      <name val="Arial"/>
      <charset val="1"/>
      <family val="0"/>
      <b val="1"/>
      <color rgb="FF2F5496"/>
      <sz val="12"/>
    </font>
    <font>
      <name val="Arial"/>
      <charset val="1"/>
      <family val="0"/>
      <b val="1"/>
      <color rgb="FF9C0006"/>
      <sz val="11"/>
    </font>
    <font>
      <name val="Arial"/>
      <charset val="1"/>
      <family val="0"/>
      <b val="1"/>
      <color rgb="FFFFFFFF"/>
      <sz val="11"/>
    </font>
    <font>
      <name val="Arial"/>
      <charset val="1"/>
      <family val="0"/>
      <color rgb="FF0000FF"/>
      <sz val="11"/>
    </font>
    <font>
      <name val="Arial"/>
      <charset val="1"/>
      <family val="0"/>
      <b val="1"/>
      <color rgb="FFC00000"/>
      <sz val="11"/>
    </font>
  </fonts>
  <fills count="6">
    <fill>
      <patternFill/>
    </fill>
    <fill>
      <patternFill patternType="gray125"/>
    </fill>
    <fill>
      <patternFill patternType="solid">
        <fgColor rgb="FF2F5496"/>
        <bgColor rgb="FF2F4F6F"/>
      </patternFill>
    </fill>
    <fill>
      <patternFill patternType="solid">
        <fgColor rgb="FFFFFF00"/>
        <bgColor rgb="FFFFFF00"/>
      </patternFill>
    </fill>
    <fill>
      <patternFill patternType="solid">
        <fgColor rgb="FFFFF2CC"/>
        <bgColor rgb="FFFFFFFF"/>
      </patternFill>
    </fill>
    <fill>
      <patternFill patternType="solid">
        <fgColor rgb="FF2F4F6F"/>
        <bgColor rgb="FF2F5496"/>
      </patternFill>
    </fill>
  </fills>
  <borders count="1">
    <border>
      <left/>
      <right/>
      <top/>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4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9" fillId="2" borderId="0" applyAlignment="1" pivotButton="0" quotePrefix="0" xfId="0">
      <alignment horizontal="general" vertical="bottom"/>
    </xf>
    <xf numFmtId="0" fontId="10" fillId="3" borderId="0" applyAlignment="1" pivotButton="0" quotePrefix="0" xfId="0">
      <alignment horizontal="general" vertical="bottom"/>
    </xf>
    <xf numFmtId="0" fontId="6" fillId="4"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general" vertical="top" wrapText="1"/>
    </xf>
    <xf numFmtId="0" fontId="9" fillId="5" borderId="0" applyAlignment="1" pivotButton="0" quotePrefix="0" xfId="0">
      <alignment horizontal="general" vertical="center" wrapText="1"/>
    </xf>
    <xf numFmtId="0" fontId="9" fillId="5" borderId="0" applyAlignment="1" pivotButton="0" quotePrefix="0" xfId="0">
      <alignment horizontal="general" vertical="bottom"/>
    </xf>
    <xf numFmtId="0" fontId="5" fillId="0" borderId="0" applyAlignment="1" pivotButton="0" quotePrefix="0" xfId="0">
      <alignment horizontal="general" vertical="top" wrapText="1"/>
    </xf>
    <xf numFmtId="0" fontId="0" fillId="4" borderId="0" applyAlignment="1" pivotButton="0" quotePrefix="0" xfId="0">
      <alignment horizontal="general" vertical="bottom"/>
    </xf>
    <xf numFmtId="0" fontId="0" fillId="4" borderId="0" applyAlignment="1" pivotButton="0" quotePrefix="0" xfId="0">
      <alignment horizontal="general" vertical="bottom"/>
    </xf>
    <xf numFmtId="0" fontId="8" fillId="4"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top" wrapText="1"/>
    </xf>
    <xf numFmtId="0" fontId="9" fillId="2" borderId="0" applyAlignment="1" pivotButton="0" quotePrefix="0" xfId="0">
      <alignment horizontal="general" vertical="bottom"/>
    </xf>
    <xf numFmtId="0" fontId="10" fillId="3" borderId="0" applyAlignment="1" pivotButton="0" quotePrefix="0" xfId="0">
      <alignment horizontal="general" vertical="bottom"/>
    </xf>
    <xf numFmtId="0" fontId="6" fillId="4" borderId="0" applyAlignment="1" pivotButton="0" quotePrefix="0" xfId="0">
      <alignment horizontal="general" vertical="bottom"/>
    </xf>
    <xf numFmtId="0" fontId="9" fillId="5" borderId="0" applyAlignment="1" pivotButton="0" quotePrefix="0" xfId="0">
      <alignment horizontal="general" vertical="center" wrapText="1"/>
    </xf>
    <xf numFmtId="0" fontId="9" fillId="5" borderId="0" applyAlignment="1" pivotButton="0" quotePrefix="0" xfId="0">
      <alignment horizontal="general" vertical="bottom"/>
    </xf>
    <xf numFmtId="0" fontId="5" fillId="0" borderId="0" applyAlignment="1" pivotButton="0" quotePrefix="0" xfId="0">
      <alignment horizontal="general" vertical="top" wrapText="1"/>
    </xf>
    <xf numFmtId="0" fontId="0" fillId="4" borderId="0" applyAlignment="1" pivotButton="0" quotePrefix="0" xfId="0">
      <alignment horizontal="general" vertical="bottom"/>
    </xf>
    <xf numFmtId="0" fontId="8" fillId="4" borderId="0" applyAlignment="1" pivotButton="0" quotePrefix="0" xfId="0">
      <alignment horizontal="general" vertical="bottom"/>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2F4F6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6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3" min="1" max="1"/>
    <col width="110" customWidth="1" style="23" min="2" max="2"/>
  </cols>
  <sheetData>
    <row r="1" ht="17.25" customHeight="1" s="24">
      <c r="A1" s="25" t="inlineStr">
        <is>
          <t>Personality Panic - Balance Lock v6</t>
        </is>
      </c>
    </row>
    <row r="3" ht="15" customHeight="1" s="24">
      <c r="A3" s="26" t="inlineStr">
        <is>
          <t>Purpose</t>
        </is>
      </c>
      <c r="B3" s="27" t="inlineStr">
        <is>
          <t>Master stat/action/job/audio data workbook for the first playable MVP. Send together with Personality_Panic_MVP_Master_Manual_v2.docx.</t>
        </is>
      </c>
    </row>
    <row r="4" ht="15" customHeight="1" s="24">
      <c r="A4" s="26" t="inlineStr">
        <is>
          <t>Core loop</t>
        </is>
      </c>
      <c r="B4" s="27" t="inlineStr">
        <is>
          <t>Choose personality -&gt; move map -&gt; enter building -&gt; take action -&gt; stats/costs/time change -&gt; upkeep/rent/pet consequences -&gt; final score.</t>
        </is>
      </c>
    </row>
    <row r="5" ht="15" customHeight="1" s="24">
      <c r="A5" s="26" t="inlineStr">
        <is>
          <t>End condition</t>
        </is>
      </c>
      <c r="B5" s="27" t="inlineStr">
        <is>
          <t>When one player maxes all 4 main stats, finish the current round; highest final score wins. Podium screen shows 1st-4th.</t>
        </is>
      </c>
    </row>
    <row r="6" ht="15" customHeight="1" s="24">
      <c r="A6" s="26" t="inlineStr">
        <is>
          <t>Main stats</t>
        </is>
      </c>
      <c r="B6" s="27" t="inlineStr">
        <is>
          <t>Connection, Health, Career, Happiness</t>
        </is>
      </c>
    </row>
    <row r="7" ht="15" customHeight="1" s="24">
      <c r="A7" s="26" t="inlineStr">
        <is>
          <t>Upkeep stats</t>
        </is>
      </c>
      <c r="B7" s="27" t="inlineStr">
        <is>
          <t>Coolness Factor, Critical Thinking, Enlightenment, Money</t>
        </is>
      </c>
    </row>
    <row r="8" ht="15" customHeight="1" s="24">
      <c r="A8" s="26" t="inlineStr">
        <is>
          <t>Pet stats</t>
        </is>
      </c>
      <c r="B8" s="27" t="inlineStr">
        <is>
          <t>Pet Happiness, Pet Health</t>
        </is>
      </c>
    </row>
    <row r="9" ht="15" customHeight="1" s="24">
      <c r="A9" s="26" t="inlineStr">
        <is>
          <t>Money rule</t>
        </is>
      </c>
      <c r="B9" s="27" t="inlineStr">
        <is>
          <t>Money and cash are the same resource/stat.</t>
        </is>
      </c>
    </row>
    <row r="10" ht="15" customHeight="1" s="24">
      <c r="A10" s="26" t="inlineStr">
        <is>
          <t>Scaling</t>
        </is>
      </c>
      <c r="B10" s="27" t="inlineStr">
        <is>
          <t>T = stat target. Short T=100, Medium T=500, Long T=1000. Action gains/costs scale as % of T.</t>
        </is>
      </c>
    </row>
    <row r="11" ht="15" customHeight="1" s="24">
      <c r="A11" s="26" t="n"/>
      <c r="B11" s="27" t="n"/>
    </row>
    <row r="12" ht="15" customHeight="1" s="24">
      <c r="A12" s="26" t="inlineStr">
        <is>
          <t>WHAT CHANGED IN v2</t>
        </is>
      </c>
      <c r="B12" s="27" t="n"/>
    </row>
    <row r="13" ht="15" customHeight="1" s="24">
      <c r="A13" s="26" t="inlineStr">
        <is>
          <t>1. Balance Patch</t>
        </is>
      </c>
      <c r="B13" s="27" t="inlineStr">
        <is>
          <t>Weakness penalties unified (main -10%, upkeep -8%), closing the v1 net-budget spread from 27 points (-2 to +25) down to 15 points (+2 to +17). Career/Money-strength types remain intentionally lowest, offset by their income/job snowball. See Balance_Audit sheet.</t>
        </is>
      </c>
    </row>
    <row r="14" ht="15" customHeight="1" s="24">
      <c r="A14" s="26" t="inlineStr">
        <is>
          <t>2. Job pay now scales with T</t>
        </is>
      </c>
      <c r="B14" s="27" t="inlineStr">
        <is>
          <t>v1 locked job pay as static, but rent/items/travel costs scale with T, which starved the economy in Medium/Long games. Dollar values in Jobs_Named are the Short (T=100) baseline; Medium = x5, Long = x10.</t>
        </is>
      </c>
    </row>
    <row r="15" ht="15" customHeight="1" s="24">
      <c r="A15" s="26" t="inlineStr">
        <is>
          <t>3. Jobs consolidated</t>
        </is>
      </c>
      <c r="B15" s="27" t="inlineStr">
        <is>
          <t>Jobs_Named (detailed per-building jobs from the Master Manual) is canonical. Jobs_Tiers keeps the generic 4-tier math as a fallback/reference.</t>
        </is>
      </c>
    </row>
    <row r="16" ht="15" customHeight="1" s="24">
      <c r="A16" s="26" t="inlineStr">
        <is>
          <t>4. Audio added</t>
        </is>
      </c>
      <c r="B16" s="27" t="inlineStr">
        <is>
          <t>Audio_Music and Audio_SFX sheets define every music and sound-effect cue, including the rent-due overmap swap every 4 turns.</t>
        </is>
      </c>
    </row>
    <row r="17" ht="15" customHeight="1" s="24">
      <c r="A17" s="26" t="n"/>
      <c r="B17" s="27" t="n"/>
    </row>
    <row r="18" ht="15" customHeight="1" s="24">
      <c r="A18" s="26" t="inlineStr">
        <is>
          <t>Sheets</t>
        </is>
      </c>
      <c r="B18" s="27" t="inlineStr">
        <is>
          <t>Settings | Personalities | Balance_Audit | Actions_Master | Items_Mall | Jobs_Named | Jobs_Tiers | Pets | Audio_Music | Audio_SFX</t>
        </is>
      </c>
    </row>
    <row r="20" ht="15" customHeight="1" s="24">
      <c r="A20" s="28" t="inlineStr">
        <is>
          <t>WHAT CHANGED IN v3</t>
        </is>
      </c>
    </row>
    <row r="21" ht="15" customHeight="1" s="24">
      <c r="A21" s="26" t="inlineStr">
        <is>
          <t>1. Weekend Update card system</t>
        </is>
      </c>
      <c r="B21" s="23" t="inlineStr">
        <is>
          <t>New Cards sheet: status cards, investment outcome cards, and standing-based event cards shown at the start of each turn. Draw weights and investment resolution odds are in the same sheet.</t>
        </is>
      </c>
    </row>
    <row r="22" ht="15" customHeight="1" s="24">
      <c r="A22" s="26" t="inlineStr">
        <is>
          <t>2. Hunger/stress penalties quantified</t>
        </is>
      </c>
      <c r="B22" s="23" t="inlineStr">
        <is>
          <t>Previously the docs said 'time penalty' with no number. Now locked: Hunger -4 Time Units, Stress -2 Time Units, penalties stack, minimum 1 Time Unit per turn.</t>
        </is>
      </c>
    </row>
    <row r="23" ht="15" customHeight="1" s="24">
      <c r="A23" s="26" t="inlineStr">
        <is>
          <t>3. Pet death rework</t>
        </is>
      </c>
      <c r="B23" s="23" t="inlineStr">
        <is>
          <t>Old Healthy-&gt;Hungry-&gt;Sick-&gt;Critical-&gt;Dead states replaced: miss 1 feeding = Sad Pet, miss 2 consecutive = Starving Pet (final warning), miss 3 consecutive = pet dies (tombstone in housing, owner Happiness -&gt; 0). Feeding resets the counter. Re-adoption allowed.</t>
        </is>
      </c>
    </row>
    <row r="25" ht="15" customHeight="1" s="24">
      <c r="A25" s="28" t="inlineStr">
        <is>
          <t>WHAT CHANGED IN v4</t>
        </is>
      </c>
    </row>
    <row r="26" ht="15" customHeight="1" s="24">
      <c r="A26" s="26" t="inlineStr">
        <is>
          <t>1. Game length scaling FIXED</t>
        </is>
      </c>
      <c r="B26" s="23" t="inlineStr">
        <is>
          <t>Stat cap (T) and gain/economy base (B) are now separate. v3 scaled both by the same multiplier, so Short/Medium/Long took the same number of turns and only changed the size of the numbers. Now Medium takes ~2x and Long ~2.9x the turns of Short. See Settings.</t>
        </is>
      </c>
    </row>
    <row r="27" ht="15" customHeight="1" s="24">
      <c r="A27" s="26" t="inlineStr">
        <is>
          <t>2. Investment system rebuilt</t>
        </is>
      </c>
      <c r="B27" s="23" t="inlineStr">
        <is>
          <t>New Investments sheet defines the full asset lifecycle. Purchases no longer grant free Money (v3 double-counting bug), savings/bonds now cost a real principal and are capped at one holding each, and a Cash Out action was added.</t>
        </is>
      </c>
    </row>
    <row r="28" ht="15" customHeight="1" s="24">
      <c r="A28" s="26" t="inlineStr">
        <is>
          <t>3. Crypto/Stocks odds retuned</t>
        </is>
      </c>
      <c r="B28" s="23" t="inlineStr">
        <is>
          <t>Crypto is now extreme by standing (leader trap / trailer comeback). Stocks are mild, with a new SIDEWAYS MARKET flat outcome that dominates for 2nd/3rd place, plus a MARKET CRASH big-loss card.</t>
        </is>
      </c>
    </row>
    <row r="29" ht="15" customHeight="1" s="24">
      <c r="A29" s="26" t="inlineStr">
        <is>
          <t>4. Mall prices raised and housing-gated</t>
        </is>
      </c>
      <c r="B29" s="23" t="inlineStr">
        <is>
          <t>Electronics, appliances, and furniture cost roughly 2-3x more, and many now require Luxury housing. Recurring costs (food, rent, pet upkeep) unchanged so survival is no harder, only accumulation slower.</t>
        </is>
      </c>
    </row>
    <row r="30" ht="15" customHeight="1" s="24">
      <c r="A30" s="26" t="inlineStr">
        <is>
          <t>5. Pet shop actions reworked</t>
        </is>
      </c>
      <c r="B30" s="23" t="inlineStr">
        <is>
          <t>Bribe Inspector: money cost + Critical Thinking gain. Contact P.I.T.A.: big one-time Happiness gain, once per game.</t>
        </is>
      </c>
    </row>
    <row r="31" ht="15" customHeight="1" s="24">
      <c r="A31" s="26" t="inlineStr">
        <is>
          <t>6. Read Tiny Print defined</t>
        </is>
      </c>
      <c r="B31" s="23" t="inlineStr">
        <is>
          <t>Grants INFORMED: downgrades the next Big Loss to a Small Loss, then is consumed.</t>
        </is>
      </c>
    </row>
    <row r="32" ht="15" customHeight="1" s="24">
      <c r="A32" s="26" t="inlineStr">
        <is>
          <t>7. Card modifier rule locked</t>
        </is>
      </c>
      <c r="B32" s="23" t="inlineStr">
        <is>
          <t>Card effects ignore personality/pet/item modifiers and the income cap.</t>
        </is>
      </c>
    </row>
    <row r="33" ht="15" customHeight="1" s="24">
      <c r="A33" s="26" t="inlineStr">
        <is>
          <t>8. Weekend Cards toggle is now three-way</t>
        </is>
      </c>
      <c r="B33" s="23" t="inlineStr">
        <is>
          <t>Full / Essential / Off (debug). Investments always resolve regardless.</t>
        </is>
      </c>
    </row>
    <row r="34" ht="15" customHeight="1" s="24">
      <c r="A34" s="26" t="inlineStr">
        <is>
          <t>9. Lifestyle Loan repayment defined</t>
        </is>
      </c>
      <c r="B34" s="23" t="inlineStr">
        <is>
          <t>+15%B now, -5%B at the start of each of the next 4 turns.</t>
        </is>
      </c>
    </row>
    <row r="36" ht="15" customHeight="1" s="24">
      <c r="A36" s="26" t="inlineStr">
        <is>
          <t>Sheets</t>
        </is>
      </c>
      <c r="B36" s="23" t="inlineStr">
        <is>
          <t>Settings | Personalities | Balance_Audit | Actions_Master | Items_Mall | Investments | Jobs_Named | Jobs_Tiers | Pets | Audio_Music | Audio_SFX | Cards</t>
        </is>
      </c>
    </row>
    <row r="38" ht="15" customHeight="1" s="24">
      <c r="A38" s="28" t="inlineStr">
        <is>
          <t>WHAT CHANGED IN v5</t>
        </is>
      </c>
    </row>
    <row r="39" ht="15" customHeight="1" s="24">
      <c r="A39" s="26" t="inlineStr">
        <is>
          <t>1. High IQ University rebuilt</t>
        </is>
      </c>
      <c r="B39" s="23" t="inlineStr">
        <is>
          <t>New Education_Paths sheet: 5 paths x 6 courses = 30 courses, with costs, click counts, strict unlock order, one-time completion, and job-tier gating. Replaces Take Class / Finish Undergrad / Master's / PhD, and fixes the bug where courses were unavailable.</t>
        </is>
      </c>
    </row>
    <row r="40" ht="15" customHeight="1" s="24">
      <c r="A40" s="26" t="inlineStr">
        <is>
          <t>2. Promotions removed</t>
        </is>
      </c>
      <c r="B40" s="23" t="inlineStr">
        <is>
          <t>New Job_Progression sheet. Ask for Promotion is deleted and there is no loyalty requirement. Tiers unlock on accumulated work clicks PLUS the matching education path.</t>
        </is>
      </c>
    </row>
    <row r="41" ht="15" customHeight="1" s="24">
      <c r="A41" s="26" t="inlineStr">
        <is>
          <t>3. Mall repriced to absolute dollars</t>
        </is>
      </c>
      <c r="B41" s="23" t="inlineStr">
        <is>
          <t>All 33 listed items set to the specified prices ($50 casual clothes ... $2000 car), 5-25x the v4 values.</t>
        </is>
      </c>
    </row>
    <row r="42" ht="15" customHeight="1" s="24">
      <c r="A42" s="26" t="inlineStr">
        <is>
          <t>4. Money economy rebuilt to match</t>
        </is>
      </c>
      <c r="B42" s="23" t="inlineStr">
        <is>
          <t>Job pay, rent, food, and the homeless cheque all rescaled. Without this the new prices would be unreachable: a $2000 car at the old $9 low wage was 222 work clicks.</t>
        </is>
      </c>
    </row>
    <row r="43" ht="15" customHeight="1" s="24">
      <c r="A43" s="26" t="inlineStr">
        <is>
          <t>5. Mall penalties removed</t>
        </is>
      </c>
      <c r="B43" s="23" t="inlineStr">
        <is>
          <t>Durag and Crocodile Sandals no longer carry stat penalties. No mall item has a penalty.</t>
        </is>
      </c>
    </row>
    <row r="44" ht="15" customHeight="1" s="24">
      <c r="A44" s="26" t="inlineStr">
        <is>
          <t>6. Flat trigger bonuses added</t>
        </is>
      </c>
      <c r="B44" s="23" t="inlineStr">
        <is>
          <t>16 home items now grant fixed point bonuses when their trigger action happens at home (beds on sleep, bookshelf/plants/mirror/dining table/stove/hot tub on relax, desk/ergonomic chair on work-from-home, pet bed/pet toys on play, cold plunge on exercise, fridge/vacuum one-time on purchase).</t>
        </is>
      </c>
    </row>
    <row r="45" ht="15" customHeight="1" s="24">
      <c r="A45" s="26" t="inlineStr">
        <is>
          <t>7. Home fixtures exemption</t>
        </is>
      </c>
      <c r="B45" s="23" t="inlineStr">
        <is>
          <t>The best-item-per-slot rule no longer applies to home fixtures, so multiple owned fixtures each fire. Only one bed counts.</t>
        </is>
      </c>
    </row>
    <row r="46" ht="15" customHeight="1" s="24">
      <c r="A46" s="26" t="inlineStr">
        <is>
          <t>8. Fridge gating</t>
        </is>
      </c>
      <c r="B46" s="23" t="inlineStr">
        <is>
          <t>2-week and 4-week groceries now require a fridge; a new 2-week option was added.</t>
        </is>
      </c>
    </row>
    <row r="47" ht="15" customHeight="1" s="24">
      <c r="A47" s="26" t="inlineStr">
        <is>
          <t>OPEN DECISION</t>
        </is>
      </c>
      <c r="B47" s="23" t="inlineStr">
        <is>
          <t>Job click gates are absolute, so Short games realistically cannot reach High/Max tier. See the pacing warning in Job_Progression for Option A (keep) vs Option B (scale by mode).</t>
        </is>
      </c>
    </row>
    <row r="49" ht="15" customHeight="1" s="24">
      <c r="A49" s="26" t="inlineStr">
        <is>
          <t>Sheets</t>
        </is>
      </c>
      <c r="B49" s="23" t="inlineStr">
        <is>
          <t>Settings | Personalities | Balance_Audit | Actions_Master | Items_Mall | Education_Paths | Job_Progression | Investments | Jobs_Named | Jobs_Tiers | Pets | Audio_Music | Audio_SFX | Cards</t>
        </is>
      </c>
    </row>
    <row r="51" ht="15" customHeight="1" s="24">
      <c r="A51" s="29" t="inlineStr">
        <is>
          <t>WHAT CHANGED IN v6 (post-playtest)</t>
        </is>
      </c>
    </row>
    <row r="52" ht="45.75" customHeight="1" s="24">
      <c r="A52" s="26" t="inlineStr">
        <is>
          <t>1. Jobs re-ordered by tier</t>
        </is>
      </c>
      <c r="B52" s="30" t="inlineStr">
        <is>
          <t>Jobs_Named is now sorted Low -&gt; Low+ -&gt; Mid -&gt; Mid+ -&gt; High -&gt; Max, then by building, with a Tier Rank column. It is no longer grouped by building. Twenty jobs were added to fill the empty Low+ and Mid+ rungs, and the stray "Max+" tier was normalised to Max.</t>
        </is>
      </c>
    </row>
    <row r="53" ht="45.75" customHeight="1" s="24">
      <c r="A53" s="26" t="inlineStr">
        <is>
          <t>2. Career growth slowed</t>
        </is>
      </c>
      <c r="B53" s="30" t="inlineStr">
        <is>
          <t>Career double-counting removed, tier values cut to 2/2/3/3/4/5, course Career gains halved, Update Resume Secretly cut from 5%B to 2%B and capped at once per turn, and a new per-turn diminishing-returns rule (100/50/25/10%) applied to every Career source. Maxing Career goes from under 4 turns to about 20. See the Career Patch v6 block in Settings.</t>
        </is>
      </c>
    </row>
    <row r="54" ht="45.75" customHeight="1" s="24">
      <c r="A54" s="26" t="inlineStr">
        <is>
          <t>3. Pay Rent rebuilt</t>
        </is>
      </c>
      <c r="B54" s="30" t="inlineStr">
        <is>
          <t>The Pay Rent rows now carry a full behavioural spec: always listed, never hidden, four display states, explicit success handler. The likely root cause is flagged: the Cost column is a multiple of B, so low rent is $100 and luxury rent $400, not $1 and $4.</t>
        </is>
      </c>
    </row>
    <row r="55" ht="45.75" customHeight="1" s="24">
      <c r="A55" s="26" t="inlineStr">
        <is>
          <t>4. Home comfort rebalanced</t>
        </is>
      </c>
      <c r="B55" s="30" t="inlineStr">
        <is>
          <t>Home exercise cut and capped at 2 per turn; gym actions buffed and given Connection; new Group Fitness Class action.</t>
        </is>
      </c>
    </row>
    <row r="56" ht="45.75" customHeight="1" s="24">
      <c r="A56" s="26" t="inlineStr">
        <is>
          <t>5. Order Fancy Food counts as eating</t>
        </is>
      </c>
      <c r="B56" s="30" t="inlineStr">
        <is>
          <t>New "Counts As (v6)" column on Actions_Master tags every action as Eat, Relax, Sleep, Work or Food supply, so hunger and stress clearing is data-driven instead of buried in prose.</t>
        </is>
      </c>
    </row>
    <row r="57" ht="45.75" customHeight="1" s="24">
      <c r="A57" s="26" t="inlineStr">
        <is>
          <t>6. Wages vary by building</t>
        </is>
      </c>
      <c r="B57" s="30" t="inlineStr">
        <is>
          <t>New Building_Map sheet. Pay = tier pay x Money Multiplier, rising with distance from the Corporate Soul Exchange: 1.00 at the hub, 1.10, 1.20, 1.35 at the edge, and 0.85 for Work From Home.</t>
        </is>
      </c>
    </row>
    <row r="58" ht="45.75" customHeight="1" s="24">
      <c r="A58" s="26" t="inlineStr">
        <is>
          <t>7. Luxury actions require purchases</t>
        </is>
      </c>
      <c r="B58" s="30" t="inlineStr">
        <is>
          <t>Sleep in Fancy Bed needs any bed, Take Luxury Bath needs the Hot Tub, Relax in Your Suite needs the Couch, Host Friends needs the new Fancy Dinnerware item (I042).</t>
        </is>
      </c>
    </row>
    <row r="59" ht="45.75" customHeight="1" s="24">
      <c r="A59" s="26" t="inlineStr">
        <is>
          <t>8. Chest Day reworked</t>
        </is>
      </c>
      <c r="B59" s="30" t="inlineStr">
        <is>
          <t>Flat Happiness +1 and Enlightenment -1 replace the old percentage Happiness penalty.</t>
        </is>
      </c>
    </row>
    <row r="60" ht="45.75" customHeight="1" s="24">
      <c r="A60" s="26" t="inlineStr">
        <is>
          <t>9. CPU difficulty added</t>
        </is>
      </c>
      <c r="B60" s="30" t="inlineStr">
        <is>
          <t>New CPU_Difficulty sheet: Easy / Medium / Hard, set globally or per bot, changing behaviour plus one clearly-labelled bot-only gain multiplier.</t>
        </is>
      </c>
    </row>
    <row r="61" ht="45.75" customHeight="1" s="24">
      <c r="A61" s="26" t="inlineStr">
        <is>
          <t>10. Turn limit is a setup value</t>
        </is>
      </c>
      <c r="B61" s="30" t="inlineStr">
        <is>
          <t>Turns per Game (10/15/20/30/50/Custom) added to Settings. The game ends at the selected round count or when a player maxes all four main stats, whichever comes first. The playtest build ended at 15 turns regardless — both likely causes are named in Settings.</t>
        </is>
      </c>
    </row>
    <row r="62" ht="45.75" customHeight="1" s="24">
      <c r="A62" s="26" t="inlineStr">
        <is>
          <t>11. Unit headers fixed</t>
        </is>
      </c>
      <c r="B62" s="30" t="inlineStr">
        <is>
          <t>Cost and Gain columns renamed from "%B" to "(xB)". A value of 1.0 means 100% of B, not 1%. This misreading is the most likely single cause of the rent bug and of wages that did not match the v5 wage table.</t>
        </is>
      </c>
    </row>
    <row r="63" ht="45.75" customHeight="1" s="24">
      <c r="A63" s="26" t="inlineStr">
        <is>
          <t>12. Work rows no longer pay</t>
        </is>
      </c>
      <c r="B63" s="30" t="inlineStr">
        <is>
          <t>Every Actions_Master "Work" row granted Money 6%B ($6) and Career on top of the job tier. Both are now zero; the job tier is the only source.</t>
        </is>
      </c>
    </row>
    <row r="65" ht="15" customHeight="1" s="24">
      <c r="A65" s="26" t="inlineStr">
        <is>
          <t>Sheets</t>
        </is>
      </c>
      <c r="B65" s="27" t="inlineStr">
        <is>
          <t>Settings | Personalities | Balance_Audit | Building_Map | CPU_Difficulty | Actions_Master | Items_Mall | Education_Paths | Job_Progression | Investments | Jobs_Named | Jobs_Tiers | Pets | Audio_Music | Audio_SFX | Cards</t>
        </is>
      </c>
    </row>
    <row r="67" ht="45.75" customHeight="1" s="24">
      <c r="A67" s="26" t="inlineStr">
        <is>
          <t>OPEN DECISION</t>
        </is>
      </c>
      <c r="B67" s="30" t="inlineStr">
        <is>
          <t>Job click gates (Option A absolute vs Option B scaled by mode) are still unresolved. With the v6 turn limit, Option B is now recommended: a 20-turn Short game cannot reach 110 work clicks, so under Option A the top half of the job ladder is visible but unreachable.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23" min="1" max="1"/>
    <col width="40" customWidth="1" style="23" min="2" max="2"/>
    <col width="90" customWidth="1" style="23" min="3" max="3"/>
    <col width="18" customWidth="1" style="23" min="4" max="6"/>
    <col width="12" customWidth="1" style="23" min="7" max="7"/>
  </cols>
  <sheetData>
    <row r="1" ht="15" customHeight="1" s="24">
      <c r="A1" s="31" t="inlineStr">
        <is>
          <t>Setting</t>
        </is>
      </c>
      <c r="B1" s="31" t="inlineStr">
        <is>
          <t>Value</t>
        </is>
      </c>
      <c r="C1" s="31" t="inlineStr">
        <is>
          <t>Notes</t>
        </is>
      </c>
    </row>
    <row r="2" ht="15" customHeight="1" s="24">
      <c r="A2" s="27" t="inlineStr">
        <is>
          <t>Current Gain/Economy Base B</t>
        </is>
      </c>
      <c r="B2" s="32" t="n">
        <v>100</v>
      </c>
      <c r="C2" s="27" t="inlineStr">
        <is>
          <t>The number ALL percentages resolve against (gains, penalties, prices, rent, pay, card effects). Set to 100 / 250 / 350. This is NOT the stat cap.</t>
        </is>
      </c>
    </row>
    <row r="3" ht="15" customHeight="1" s="24">
      <c r="A3" s="27" t="inlineStr">
        <is>
          <t>Short Game B (gain/economy base)</t>
        </is>
      </c>
      <c r="B3" s="27" t="n">
        <v>100</v>
      </c>
      <c r="C3" s="27" t="inlineStr">
        <is>
          <t>Short game economy base</t>
        </is>
      </c>
    </row>
    <row r="4" ht="15" customHeight="1" s="24">
      <c r="A4" s="27" t="inlineStr">
        <is>
          <t>Medium Game B (gain/economy base)</t>
        </is>
      </c>
      <c r="B4" s="27" t="n">
        <v>250</v>
      </c>
      <c r="C4" s="27" t="inlineStr">
        <is>
          <t>Medium game economy base</t>
        </is>
      </c>
    </row>
    <row r="5" ht="15" customHeight="1" s="24">
      <c r="A5" s="27" t="inlineStr">
        <is>
          <t>Long Game B (gain/economy base)</t>
        </is>
      </c>
      <c r="B5" s="27" t="n">
        <v>350</v>
      </c>
      <c r="C5" s="27" t="inlineStr">
        <is>
          <t>Long game economy base</t>
        </is>
      </c>
    </row>
    <row r="6" ht="15" customHeight="1" s="24">
      <c r="A6" s="28" t="inlineStr">
        <is>
          <t>STAT CAPS T (endgame threshold — scale FASTER than B)</t>
        </is>
      </c>
    </row>
    <row r="7" ht="15" customHeight="1" s="24">
      <c r="A7" s="26" t="inlineStr">
        <is>
          <t>Short Game T (stat cap)</t>
        </is>
      </c>
      <c r="B7" s="23" t="n">
        <v>100</v>
      </c>
      <c r="C7" s="23" t="inlineStr">
        <is>
          <t>Turn ratio T/B = 1.00 -&gt; baseline length</t>
        </is>
      </c>
    </row>
    <row r="8" ht="15" customHeight="1" s="24">
      <c r="A8" s="26" t="inlineStr">
        <is>
          <t>Medium Game T (stat cap)</t>
        </is>
      </c>
      <c r="B8" s="23" t="n">
        <v>500</v>
      </c>
      <c r="C8" s="23" t="inlineStr">
        <is>
          <t>Turn ratio T/B = 2.00 -&gt; about twice as many turns as Short</t>
        </is>
      </c>
    </row>
    <row r="9" ht="15" customHeight="1" s="24">
      <c r="A9" s="26" t="inlineStr">
        <is>
          <t>Long Game T (stat cap)</t>
        </is>
      </c>
      <c r="B9" s="23" t="n">
        <v>1000</v>
      </c>
      <c r="C9" s="23" t="inlineStr">
        <is>
          <t>Turn ratio T/B = 2.86 -&gt; about 2.9x as many turns as Short</t>
        </is>
      </c>
    </row>
    <row r="10" ht="15" customHeight="1" s="24">
      <c r="A10" s="26" t="inlineStr">
        <is>
          <t>Current Stat Cap T</t>
        </is>
      </c>
      <c r="B10" s="23" t="n">
        <v>100</v>
      </c>
      <c r="C10" s="23" t="inlineStr">
        <is>
          <t>Set to match the selected mode. Endgame triggers when a player hits T in all 4 main stats.</t>
        </is>
      </c>
    </row>
    <row r="11" ht="15" customHeight="1" s="24">
      <c r="A11" s="33" t="inlineStr">
        <is>
          <t>Time Units per Turn</t>
        </is>
      </c>
      <c r="B11" s="27" t="n">
        <v>40</v>
      </c>
      <c r="C11" s="27" t="inlineStr">
        <is>
          <t>BUILD: 40 per turn (Game Setup offers 12-50). Sheet TU costs are used as authored. Per-turn rules written for a ~6 TU turn are much weaker at 40.</t>
        </is>
      </c>
    </row>
    <row r="12" ht="15" customHeight="1" s="24">
      <c r="A12" s="27" t="inlineStr">
        <is>
          <t>Rent Interval (turns)</t>
        </is>
      </c>
      <c r="B12" s="27" t="n">
        <v>4</v>
      </c>
      <c r="C12" s="27" t="inlineStr">
        <is>
          <t>Rent-due overmap music also swaps in on these turns.</t>
        </is>
      </c>
    </row>
    <row r="13" ht="15" customHeight="1" s="24">
      <c r="A13" s="27" t="inlineStr">
        <is>
          <t>Turn Timer Options (sec)</t>
        </is>
      </c>
      <c r="B13" s="27" t="inlineStr">
        <is>
          <t>30 / 60 / 90 / 120 / Unlimited</t>
        </is>
      </c>
      <c r="C13" s="27" t="inlineStr">
        <is>
          <t>Chosen on Game Setup screen</t>
        </is>
      </c>
    </row>
    <row r="14" ht="15" customHeight="1" s="24">
      <c r="A14" s="23" t="inlineStr">
        <is>
          <t>Max Players</t>
        </is>
      </c>
      <c r="B14" s="23" t="n">
        <v>4</v>
      </c>
      <c r="C14" s="23" t="inlineStr">
        <is>
          <t>1 host + up to 3 joiners; CPU bots fill empty slots (min 2 total participants)</t>
        </is>
      </c>
    </row>
    <row r="15" ht="15" customHeight="1" s="24"/>
    <row r="16" ht="15" customHeight="1" s="24">
      <c r="A16" s="31" t="inlineStr">
        <is>
          <t>Gain Tier</t>
        </is>
      </c>
      <c r="B16" s="31" t="inlineStr">
        <is>
          <t>% of B</t>
        </is>
      </c>
      <c r="C16" s="31" t="inlineStr">
        <is>
          <t>Meaning (resolves against B, NOT the stat cap)</t>
        </is>
      </c>
    </row>
    <row r="17" ht="15" customHeight="1" s="24">
      <c r="A17" s="23" t="inlineStr">
        <is>
          <t>Tiny</t>
        </is>
      </c>
      <c r="B17" s="23" t="n">
        <v>0.025</v>
      </c>
      <c r="C17" s="23" t="inlineStr">
        <is>
          <t>Small action</t>
        </is>
      </c>
    </row>
    <row r="18" ht="15" customHeight="1" s="24">
      <c r="A18" s="23" t="inlineStr">
        <is>
          <t>Standard</t>
        </is>
      </c>
      <c r="B18" s="23" t="n">
        <v>0.05</v>
      </c>
      <c r="C18" s="23" t="inlineStr">
        <is>
          <t>Normal action</t>
        </is>
      </c>
    </row>
    <row r="19" ht="15" customHeight="1" s="24">
      <c r="A19" s="23" t="inlineStr">
        <is>
          <t>Strong</t>
        </is>
      </c>
      <c r="B19" s="23" t="n">
        <v>0.08</v>
      </c>
      <c r="C19" s="23" t="inlineStr">
        <is>
          <t>Good action</t>
        </is>
      </c>
    </row>
    <row r="20" ht="15" customHeight="1" s="24">
      <c r="A20" s="23" t="inlineStr">
        <is>
          <t>Premium</t>
        </is>
      </c>
      <c r="B20" s="23" t="n">
        <v>0.12</v>
      </c>
      <c r="C20" s="23" t="inlineStr">
        <is>
          <t>Expensive/limited action</t>
        </is>
      </c>
    </row>
    <row r="21" ht="15" customHeight="1" s="24">
      <c r="A21" s="23" t="inlineStr">
        <is>
          <t>Milestone</t>
        </is>
      </c>
      <c r="B21" s="23" t="n">
        <v>0.15</v>
      </c>
      <c r="C21" s="23" t="inlineStr">
        <is>
          <t>Degree/unlock/major action</t>
        </is>
      </c>
    </row>
    <row r="22" ht="15" customHeight="1" s="24">
      <c r="A22" s="23" t="inlineStr">
        <is>
          <t>Major Milestone</t>
        </is>
      </c>
      <c r="B22" s="23" t="n">
        <v>0.2</v>
      </c>
      <c r="C22" s="23" t="inlineStr">
        <is>
          <t>Huge late-game action</t>
        </is>
      </c>
    </row>
    <row r="23" ht="15" customHeight="1" s="24"/>
    <row r="24" ht="15" customHeight="1" s="24">
      <c r="A24" s="28" t="inlineStr">
        <is>
          <t>PERSONALITY MODIFIERS v2 (BALANCE PATCH)</t>
        </is>
      </c>
    </row>
    <row r="25" ht="15" customHeight="1" s="24">
      <c r="A25" s="31" t="inlineStr">
        <is>
          <t>Stat</t>
        </is>
      </c>
      <c r="B25" s="31" t="inlineStr">
        <is>
          <t>Strength Bonus</t>
        </is>
      </c>
      <c r="C25" s="31" t="inlineStr">
        <is>
          <t>Weakness Penalty (v2)</t>
        </is>
      </c>
      <c r="D25" s="31" t="inlineStr">
        <is>
          <t>Max Final Multiplier</t>
        </is>
      </c>
      <c r="E25" s="31" t="inlineStr">
        <is>
          <t>Notes</t>
        </is>
      </c>
    </row>
    <row r="26" ht="15" customHeight="1" s="24">
      <c r="A26" s="23" t="inlineStr">
        <is>
          <t>Connection</t>
        </is>
      </c>
      <c r="B26" s="23" t="n">
        <v>0.2</v>
      </c>
      <c r="C26" s="23" t="n">
        <v>-0.1</v>
      </c>
      <c r="D26" s="23" t="n">
        <v>1.45</v>
      </c>
      <c r="E26" s="23" t="inlineStr">
        <is>
          <t>Main stat</t>
        </is>
      </c>
    </row>
    <row r="27" ht="15" customHeight="1" s="24">
      <c r="A27" s="23" t="inlineStr">
        <is>
          <t>Health</t>
        </is>
      </c>
      <c r="B27" s="23" t="n">
        <v>0.2</v>
      </c>
      <c r="C27" s="23" t="n">
        <v>-0.1</v>
      </c>
      <c r="D27" s="23" t="n">
        <v>1.45</v>
      </c>
      <c r="E27" s="23" t="inlineStr">
        <is>
          <t>Main stat</t>
        </is>
      </c>
    </row>
    <row r="28" ht="15" customHeight="1" s="24">
      <c r="A28" s="23" t="inlineStr">
        <is>
          <t>Happiness</t>
        </is>
      </c>
      <c r="B28" s="23" t="n">
        <v>0.2</v>
      </c>
      <c r="C28" s="23" t="n">
        <v>-0.1</v>
      </c>
      <c r="D28" s="23" t="n">
        <v>1.45</v>
      </c>
      <c r="E28" s="23" t="inlineStr">
        <is>
          <t>Main stat</t>
        </is>
      </c>
    </row>
    <row r="29" ht="15" customHeight="1" s="24">
      <c r="A29" s="23" t="inlineStr">
        <is>
          <t>Career</t>
        </is>
      </c>
      <c r="B29" s="23" t="n">
        <v>0.1</v>
      </c>
      <c r="C29" s="23" t="n">
        <v>-0.1</v>
      </c>
      <c r="D29" s="23" t="n">
        <v>1.25</v>
      </c>
      <c r="E29" s="23" t="inlineStr">
        <is>
          <t>Engine stat: weak strength (snowballs), full-size weakness</t>
        </is>
      </c>
    </row>
    <row r="30" ht="15" customHeight="1" s="24">
      <c r="A30" s="23" t="inlineStr">
        <is>
          <t>Coolness Factor</t>
        </is>
      </c>
      <c r="B30" s="23" t="n">
        <v>0.15</v>
      </c>
      <c r="C30" s="23" t="n">
        <v>-0.08</v>
      </c>
      <c r="D30" s="23" t="n">
        <v>1.35</v>
      </c>
      <c r="E30" s="23" t="inlineStr">
        <is>
          <t>Upkeep stat</t>
        </is>
      </c>
    </row>
    <row r="31" ht="15" customHeight="1" s="24">
      <c r="A31" s="23" t="inlineStr">
        <is>
          <t>Critical Thinking</t>
        </is>
      </c>
      <c r="B31" s="23" t="n">
        <v>0.15</v>
      </c>
      <c r="C31" s="23" t="n">
        <v>-0.08</v>
      </c>
      <c r="D31" s="23" t="n">
        <v>1.35</v>
      </c>
      <c r="E31" s="23" t="inlineStr">
        <is>
          <t>Upkeep stat</t>
        </is>
      </c>
    </row>
    <row r="32" ht="15" customHeight="1" s="24">
      <c r="A32" s="23" t="inlineStr">
        <is>
          <t>Enlightenment</t>
        </is>
      </c>
      <c r="B32" s="23" t="n">
        <v>0.15</v>
      </c>
      <c r="C32" s="23" t="n">
        <v>-0.08</v>
      </c>
      <c r="D32" s="23" t="n">
        <v>1.35</v>
      </c>
      <c r="E32" s="23" t="inlineStr">
        <is>
          <t>Upkeep stat</t>
        </is>
      </c>
    </row>
    <row r="33" ht="15" customHeight="1" s="24">
      <c r="A33" s="23" t="inlineStr">
        <is>
          <t>Money</t>
        </is>
      </c>
      <c r="B33" s="23" t="n">
        <v>0.1</v>
      </c>
      <c r="C33" s="23" t="n">
        <v>-0.08</v>
      </c>
      <c r="D33" s="23" t="n">
        <v>1.25</v>
      </c>
      <c r="E33" s="23" t="inlineStr">
        <is>
          <t>Engine stat: weak strength (snowballs), full-size weakness</t>
        </is>
      </c>
    </row>
    <row r="34" ht="15" customHeight="1" s="24"/>
    <row r="35" ht="15" customHeight="1" s="24">
      <c r="A35" s="26" t="inlineStr">
        <is>
          <t>Final Gain Formula</t>
        </is>
      </c>
      <c r="B35" s="23" t="inlineStr">
        <is>
          <t>Base Gain x Personality Modifier x Pet Modifier x Best Item Modifier x Temporary Modifier, then clamp to the stat's Max Final Multiplier.</t>
        </is>
      </c>
    </row>
    <row r="36" ht="15" customHeight="1" s="24">
      <c r="A36" s="26" t="inlineStr">
        <is>
          <t>Final Score Formula</t>
        </is>
      </c>
      <c r="B36" s="23" t="inlineStr">
        <is>
          <t>Connection + Health + Career + Happiness + AVG(Coolness, Critical Thinking, Enlightenment, Money) + AVG(Pet Happiness, Pet Health)</t>
        </is>
      </c>
    </row>
    <row r="37" ht="15" customHeight="1" s="24"/>
    <row r="38" ht="15" customHeight="1" s="24">
      <c r="A38" s="28" t="inlineStr">
        <is>
          <t>UPKEEP TIME PENALTIES (locked in v3)</t>
        </is>
      </c>
    </row>
    <row r="39" ht="15" customHeight="1" s="24">
      <c r="A39" s="31" t="inlineStr">
        <is>
          <t>Penalty</t>
        </is>
      </c>
      <c r="B39" s="31" t="inlineStr">
        <is>
          <t>Value</t>
        </is>
      </c>
      <c r="C39" s="31" t="inlineStr">
        <is>
          <t>Rule</t>
        </is>
      </c>
    </row>
    <row r="40" ht="15" customHeight="1" s="24">
      <c r="A40" s="23" t="inlineStr">
        <is>
          <t>Hunger (forgot to eat last turn)</t>
        </is>
      </c>
      <c r="B40" s="23" t="inlineStr">
        <is>
          <t>-25% of the turn</t>
        </is>
      </c>
      <c r="C40" s="23" t="inlineStr">
        <is>
          <t>BUILD: 25% of next turn's Time Units (2026-07-20), not a flat -4.</t>
        </is>
      </c>
    </row>
    <row r="41" ht="15" customHeight="1" s="24">
      <c r="A41" s="23" t="inlineStr">
        <is>
          <t>Stress (no relaxation for 2 turns)</t>
        </is>
      </c>
      <c r="B41" s="23" t="inlineStr">
        <is>
          <t>-15% of the turn</t>
        </is>
      </c>
      <c r="C41" s="23" t="inlineStr">
        <is>
          <t>BUILD: 15% of next turn's Time Units plus 5%B Health and 5%B Happiness.</t>
        </is>
      </c>
    </row>
    <row r="42" ht="15" customHeight="1" s="24">
      <c r="A42" s="23" t="inlineStr">
        <is>
          <t>Stacking rule</t>
        </is>
      </c>
      <c r="B42" s="23" t="inlineStr">
        <is>
          <t>Both can apply</t>
        </is>
      </c>
      <c r="C42" s="23" t="inlineStr">
        <is>
          <t>Penalties stack (-6 total possible) but a turn never drops below 1 Time Unit.</t>
        </is>
      </c>
    </row>
    <row r="43"/>
    <row r="44" ht="15" customHeight="1" s="24">
      <c r="A44" s="28" t="inlineStr">
        <is>
          <t>GAME LENGTH SCALING (fixed in v4)</t>
        </is>
      </c>
    </row>
    <row r="45" ht="15" customHeight="1" s="24">
      <c r="A45" s="26" t="inlineStr">
        <is>
          <t>Problem in v3</t>
        </is>
      </c>
      <c r="B45" s="23" t="inlineStr">
        <is>
          <t>Stat caps AND stat gains both scaled with T, so every action filled the same percentage of the bar in every mode (a 5% action needed ~20 uses in Short, Medium and Long alike). The modes only changed the size of the numbers, not the length of the game.</t>
        </is>
      </c>
    </row>
    <row r="46" ht="15" customHeight="1" s="24">
      <c r="A46" s="26" t="inlineStr">
        <is>
          <t>Fix in v4</t>
        </is>
      </c>
      <c r="B46" s="23" t="inlineStr">
        <is>
          <t>Two separate scalars. T = stat cap only. B = the base every percentage resolves against (gains, penalties, prices, rent, job pay, card effects). Because B grows more slowly than T, longer modes genuinely need more actions and more turns.</t>
        </is>
      </c>
    </row>
    <row r="47" ht="15" customHeight="1" s="24">
      <c r="A47" s="26" t="inlineStr">
        <is>
          <t>Purchasing power</t>
        </is>
      </c>
      <c r="B47" s="23" t="inlineStr">
        <is>
          <t>Income and prices BOTH resolve against B, so purchasing power stays stable across modes. Prices are 2.5x Short in Medium and 3.5x Short in Long (not 5x/10x) — the ratio to wages is what matters, not the raw number.</t>
        </is>
      </c>
    </row>
    <row r="48"/>
    <row r="49" ht="15" customHeight="1" s="24">
      <c r="A49" s="31" t="inlineStr">
        <is>
          <t>Mode</t>
        </is>
      </c>
      <c r="B49" s="31" t="inlineStr">
        <is>
          <t>Stat cap T</t>
        </is>
      </c>
      <c r="C49" s="31" t="inlineStr">
        <is>
          <t>Gain/economy base B</t>
        </is>
      </c>
      <c r="D49" s="31" t="inlineStr">
        <is>
          <t>Cap multiplier</t>
        </is>
      </c>
      <c r="E49" s="31" t="inlineStr">
        <is>
          <t>Gain multiplier</t>
        </is>
      </c>
      <c r="F49" s="31" t="inlineStr">
        <is>
          <t>Turn ratio (T/B)</t>
        </is>
      </c>
      <c r="G49" s="31" t="inlineStr">
        <is>
          <t>Max score</t>
        </is>
      </c>
    </row>
    <row r="50" ht="15" customHeight="1" s="24">
      <c r="A50" s="23" t="inlineStr">
        <is>
          <t>Short</t>
        </is>
      </c>
      <c r="B50" s="23" t="n">
        <v>100</v>
      </c>
      <c r="C50" s="23" t="n">
        <v>100</v>
      </c>
      <c r="D50" s="23" t="inlineStr">
        <is>
          <t>1.0x</t>
        </is>
      </c>
      <c r="E50" s="23" t="inlineStr">
        <is>
          <t>1.00x</t>
        </is>
      </c>
      <c r="F50" s="23" t="inlineStr">
        <is>
          <t>1.00x</t>
        </is>
      </c>
      <c r="G50" s="23" t="n">
        <v>600</v>
      </c>
    </row>
    <row r="51" ht="15" customHeight="1" s="24">
      <c r="A51" s="23" t="inlineStr">
        <is>
          <t>Medium</t>
        </is>
      </c>
      <c r="B51" s="23" t="n">
        <v>500</v>
      </c>
      <c r="C51" s="23" t="n">
        <v>250</v>
      </c>
      <c r="D51" s="23" t="inlineStr">
        <is>
          <t>5.0x</t>
        </is>
      </c>
      <c r="E51" s="23" t="inlineStr">
        <is>
          <t>2.50x</t>
        </is>
      </c>
      <c r="F51" s="23" t="inlineStr">
        <is>
          <t>2.00x</t>
        </is>
      </c>
      <c r="G51" s="23" t="n">
        <v>3000</v>
      </c>
    </row>
    <row r="52" ht="15" customHeight="1" s="24">
      <c r="A52" s="23" t="inlineStr">
        <is>
          <t>Long</t>
        </is>
      </c>
      <c r="B52" s="23" t="n">
        <v>1000</v>
      </c>
      <c r="C52" s="23" t="n">
        <v>350</v>
      </c>
      <c r="D52" s="23" t="inlineStr">
        <is>
          <t>10.0x</t>
        </is>
      </c>
      <c r="E52" s="23" t="inlineStr">
        <is>
          <t>3.50x</t>
        </is>
      </c>
      <c r="F52" s="23" t="inlineStr">
        <is>
          <t>2.86x</t>
        </is>
      </c>
      <c r="G52" s="23" t="n">
        <v>6000</v>
      </c>
    </row>
    <row r="53" ht="15" customHeight="1" s="24">
      <c r="A53" s="26" t="inlineStr">
        <is>
          <t>Worked example</t>
        </is>
      </c>
      <c r="B53" s="23" t="inlineStr">
        <is>
          <t>A Standard action is 5% of B. In Short it grants 5 points toward a cap of 100 (20 uses to max). In Medium it grants 12.5 points toward a cap of 500 (40 uses). In Long it grants 17.5 points toward a cap of 1000 (57 uses). That is the intended pacing difference.</t>
        </is>
      </c>
    </row>
    <row r="54"/>
    <row r="55" ht="15" customHeight="1" s="24">
      <c r="A55" s="28" t="inlineStr">
        <is>
          <t>CARD EFFECT MODIFIER RULE (locked in v4)</t>
        </is>
      </c>
    </row>
    <row r="56" ht="15" customHeight="1" s="24">
      <c r="A56" s="26" t="inlineStr">
        <is>
          <t>Rule</t>
        </is>
      </c>
      <c r="B56" s="23" t="inlineStr">
        <is>
          <t>Weekend Update card effects (status, investment, and event cards) are NOT modified by personality, pet, item, or temporary modifiers, and are NOT subject to the 1.25x income cap. Card values apply exactly as printed.</t>
        </is>
      </c>
    </row>
    <row r="57" ht="15" customHeight="1" s="24">
      <c r="A57" s="26" t="inlineStr">
        <is>
          <t>Why</t>
        </is>
      </c>
      <c r="B57" s="23" t="inlineStr">
        <is>
          <t>Cards are already weighted by standing. Layering personality modifiers on top would double-dip: a Money-strength player in last place would get a standing bonus AND a personality bonus on the same payout, making rubber-banding unpredictable and very hard to balance. Modifiers still apply normally to all ACTION gains.</t>
        </is>
      </c>
    </row>
    <row r="58" ht="15" customHeight="1" s="24">
      <c r="A58" s="26" t="inlineStr">
        <is>
          <t>Applies to losses too</t>
        </is>
      </c>
      <c r="B58" s="23" t="inlineStr">
        <is>
          <t>Card losses are also unmodified. A Money weakness does not deepen a RUG PULL, and a Money strength does not soften it.</t>
        </is>
      </c>
    </row>
    <row r="59"/>
    <row r="60" ht="15" customHeight="1" s="24">
      <c r="A60" s="28" t="inlineStr">
        <is>
          <t>WEEKEND CARDS SETTING (three-way, fixed in v4)</t>
        </is>
      </c>
    </row>
    <row r="61" ht="15" customHeight="1" s="24">
      <c r="A61" s="31" t="inlineStr">
        <is>
          <t>Mode</t>
        </is>
      </c>
      <c r="B61" s="31" t="inlineStr">
        <is>
          <t>Behaviour</t>
        </is>
      </c>
    </row>
    <row r="62" ht="15" customHeight="1" s="24">
      <c r="A62" s="23" t="inlineStr">
        <is>
          <t>Full (default)</t>
        </is>
      </c>
      <c r="B62" s="23" t="inlineStr">
        <is>
          <t>Status cards + investment cards + event cards.</t>
        </is>
      </c>
    </row>
    <row r="63" ht="15" customHeight="1" s="24">
      <c r="A63" s="23" t="inlineStr">
        <is>
          <t>Essential</t>
        </is>
      </c>
      <c r="B63" s="23" t="inlineStr">
        <is>
          <t>Status cards + investment cards only. Life-event cards are disabled. Purist mode: investments still pay out normally.</t>
        </is>
      </c>
    </row>
    <row r="64" ht="15" customHeight="1" s="24">
      <c r="A64" s="23" t="inlineStr">
        <is>
          <t>Off (debug only)</t>
        </is>
      </c>
      <c r="B64" s="23" t="inlineStr">
        <is>
          <t>No cards shown. Status penalties AND investment returns still resolve silently and are written to the action log. Investments are never disabled — turning cards off must never change game outcomes, only presentation.</t>
        </is>
      </c>
    </row>
    <row r="65"/>
    <row r="66" ht="15" customHeight="1" s="24">
      <c r="A66" s="28" t="inlineStr">
        <is>
          <t>MONEY ECONOMY REBUILD (v5)</t>
        </is>
      </c>
    </row>
    <row r="67" ht="15" customHeight="1" s="24">
      <c r="A67" s="26" t="inlineStr">
        <is>
          <t>Why</t>
        </is>
      </c>
      <c r="B67" s="23" t="inlineStr">
        <is>
          <t>v5 sets mall prices as absolute dollar figures (casual clothes $50 ... car $2000). Those are 5-25x the old prices, so job pay, rent and food had to be rebuilt to match or the game would be unplayable. All dollar figures are SHORT-GAME (B=100) baselines and scale with B: Medium x2.5, Long x3.5.</t>
        </is>
      </c>
    </row>
    <row r="68"/>
    <row r="69" ht="15" customHeight="1" s="24">
      <c r="A69" s="31" t="inlineStr">
        <is>
          <t>Income / cost</t>
        </is>
      </c>
      <c r="B69" s="31" t="inlineStr">
        <is>
          <t>Short $</t>
        </is>
      </c>
      <c r="C69" s="31" t="inlineStr">
        <is>
          <t>%B</t>
        </is>
      </c>
      <c r="D69" s="31" t="inlineStr">
        <is>
          <t>Notes</t>
        </is>
      </c>
    </row>
    <row r="70" ht="15" customHeight="1" s="24">
      <c r="A70" s="23" t="inlineStr">
        <is>
          <t>Work click — Low</t>
        </is>
      </c>
      <c r="B70" s="23" t="n">
        <v>40</v>
      </c>
      <c r="C70" s="23" t="n">
        <v>0.4</v>
      </c>
      <c r="D70" s="23" t="inlineStr">
        <is>
          <t>2 Time Units per click</t>
        </is>
      </c>
    </row>
    <row r="71" ht="15" customHeight="1" s="24">
      <c r="A71" s="23" t="inlineStr">
        <is>
          <t>Work click — Low+</t>
        </is>
      </c>
      <c r="B71" s="23" t="n">
        <v>65</v>
      </c>
      <c r="C71" s="23" t="n">
        <v>0.65</v>
      </c>
    </row>
    <row r="72" ht="15" customHeight="1" s="24">
      <c r="A72" s="23" t="inlineStr">
        <is>
          <t>Work click — Mid</t>
        </is>
      </c>
      <c r="B72" s="23" t="n">
        <v>110</v>
      </c>
      <c r="C72" s="23" t="n">
        <v>1.1</v>
      </c>
    </row>
    <row r="73" ht="15" customHeight="1" s="24">
      <c r="A73" s="23" t="inlineStr">
        <is>
          <t>Work click — Mid+</t>
        </is>
      </c>
      <c r="B73" s="23" t="n">
        <v>170</v>
      </c>
      <c r="C73" s="23" t="n">
        <v>1.7</v>
      </c>
    </row>
    <row r="74" ht="15" customHeight="1" s="24">
      <c r="A74" s="23" t="inlineStr">
        <is>
          <t>Work click — High</t>
        </is>
      </c>
      <c r="B74" s="23" t="n">
        <v>260</v>
      </c>
      <c r="C74" s="23" t="n">
        <v>2.6</v>
      </c>
    </row>
    <row r="75" ht="15" customHeight="1" s="24">
      <c r="A75" s="23" t="inlineStr">
        <is>
          <t>Work click — Max</t>
        </is>
      </c>
      <c r="B75" s="23" t="n">
        <v>400</v>
      </c>
      <c r="C75" s="23" t="n">
        <v>4</v>
      </c>
    </row>
    <row r="76" ht="15" customHeight="1" s="24">
      <c r="A76" s="23" t="inlineStr">
        <is>
          <t>Low-cost rent (every 4 turns)</t>
        </is>
      </c>
      <c r="B76" s="23" t="n">
        <v>100</v>
      </c>
      <c r="C76" s="23" t="n">
        <v>1</v>
      </c>
      <c r="D76" s="23" t="inlineStr">
        <is>
          <t>About 30% of a Low earner's 4-turn income; leaves room to save for education</t>
        </is>
      </c>
    </row>
    <row r="77" ht="15" customHeight="1" s="24">
      <c r="A77" s="23" t="inlineStr">
        <is>
          <t>Luxury rent (every 4 turns)</t>
        </is>
      </c>
      <c r="B77" s="23" t="n">
        <v>400</v>
      </c>
      <c r="C77" s="23" t="n">
        <v>4</v>
      </c>
      <c r="D77" s="23" t="inlineStr">
        <is>
          <t>Requires Mid+ income to sustain</t>
        </is>
      </c>
    </row>
    <row r="78" ht="15" customHeight="1" s="24">
      <c r="A78" s="23" t="inlineStr">
        <is>
          <t>Homeless Support Cheque</t>
        </is>
      </c>
      <c r="B78" s="23" t="n">
        <v>200</v>
      </c>
      <c r="C78" s="23" t="n">
        <v>2</v>
      </c>
      <c r="D78" s="23" t="inlineStr">
        <is>
          <t>Must cover casual clothes (50) + low rent (100) + a few meals</t>
        </is>
      </c>
    </row>
    <row r="79" ht="15" customHeight="1" s="24">
      <c r="A79" s="23" t="inlineStr">
        <is>
          <t>Regret Burger meal</t>
        </is>
      </c>
      <c r="B79" s="23" t="n">
        <v>15</v>
      </c>
      <c r="C79" s="23" t="n">
        <v>0.15</v>
      </c>
      <c r="D79" s="23" t="inlineStr">
        <is>
          <t>Cheap food route</t>
        </is>
      </c>
    </row>
    <row r="80" ht="15" customHeight="1" s="24">
      <c r="A80" s="23" t="inlineStr">
        <is>
          <t>Groceries — 1 week</t>
        </is>
      </c>
      <c r="B80" s="23" t="n">
        <v>40</v>
      </c>
      <c r="C80" s="23" t="n">
        <v>0.4</v>
      </c>
      <c r="D80" s="23" t="inlineStr">
        <is>
          <t>No fridge needed</t>
        </is>
      </c>
    </row>
    <row r="81" ht="15" customHeight="1" s="24">
      <c r="A81" s="23" t="inlineStr">
        <is>
          <t>Groceries — 2 weeks</t>
        </is>
      </c>
      <c r="B81" s="23" t="n">
        <v>70</v>
      </c>
      <c r="C81" s="23" t="n">
        <v>0.7</v>
      </c>
      <c r="D81" s="23" t="inlineStr">
        <is>
          <t>REQUIRES FRIDGE</t>
        </is>
      </c>
    </row>
    <row r="82" ht="15" customHeight="1" s="24">
      <c r="A82" s="23" t="inlineStr">
        <is>
          <t>Groceries — 4 weeks</t>
        </is>
      </c>
      <c r="B82" s="23" t="n">
        <v>130</v>
      </c>
      <c r="C82" s="23" t="n">
        <v>1.3</v>
      </c>
      <c r="D82" s="23" t="inlineStr">
        <is>
          <t>REQUIRES FRIDGE; best value</t>
        </is>
      </c>
    </row>
    <row r="83" ht="15" customHeight="1" s="24">
      <c r="A83" s="23" t="inlineStr">
        <is>
          <t>Organic groceries — 1 week</t>
        </is>
      </c>
      <c r="B83" s="23" t="n">
        <v>70</v>
      </c>
      <c r="C83" s="23" t="n">
        <v>0.7</v>
      </c>
      <c r="D83" s="23" t="inlineStr">
        <is>
          <t>Better Health</t>
        </is>
      </c>
    </row>
    <row r="84" ht="15" customHeight="1" s="24">
      <c r="A84" s="23" t="inlineStr">
        <is>
          <t>Education — Path 1 course</t>
        </is>
      </c>
      <c r="B84" s="23" t="n">
        <v>50</v>
      </c>
      <c r="C84" s="23" t="n">
        <v>0.5</v>
      </c>
      <c r="D84" s="23" t="inlineStr">
        <is>
          <t>x6 courses = 300</t>
        </is>
      </c>
    </row>
    <row r="85" ht="15" customHeight="1" s="24">
      <c r="A85" s="23" t="inlineStr">
        <is>
          <t>Education — Path 2 course</t>
        </is>
      </c>
      <c r="B85" s="23" t="n">
        <v>100</v>
      </c>
      <c r="C85" s="23" t="n">
        <v>1</v>
      </c>
      <c r="D85" s="23" t="inlineStr">
        <is>
          <t>x6 = 600</t>
        </is>
      </c>
    </row>
    <row r="86" ht="15" customHeight="1" s="24">
      <c r="A86" s="23" t="inlineStr">
        <is>
          <t>Education — Path 3 course</t>
        </is>
      </c>
      <c r="B86" s="23" t="n">
        <v>150</v>
      </c>
      <c r="C86" s="23" t="n">
        <v>1.5</v>
      </c>
      <c r="D86" s="23" t="inlineStr">
        <is>
          <t>x6 = 900</t>
        </is>
      </c>
    </row>
    <row r="87" ht="15" customHeight="1" s="24">
      <c r="A87" s="23" t="inlineStr">
        <is>
          <t>Education — Path 4 course</t>
        </is>
      </c>
      <c r="B87" s="23" t="n">
        <v>200</v>
      </c>
      <c r="C87" s="23" t="n">
        <v>2</v>
      </c>
      <c r="D87" s="23" t="inlineStr">
        <is>
          <t>x6 = 1200</t>
        </is>
      </c>
    </row>
    <row r="88" ht="15" customHeight="1" s="24">
      <c r="A88" s="23" t="inlineStr">
        <is>
          <t>Education — Path 5 course</t>
        </is>
      </c>
      <c r="B88" s="23" t="n">
        <v>250</v>
      </c>
      <c r="C88" s="23" t="n">
        <v>2.5</v>
      </c>
      <c r="D88" s="23" t="inlineStr">
        <is>
          <t>x6 = 1500; all five paths = 4500</t>
        </is>
      </c>
    </row>
    <row r="89"/>
    <row r="90" ht="15" customHeight="1" s="24">
      <c r="A90" s="26" t="inlineStr">
        <is>
          <t>Career earnings check</t>
        </is>
      </c>
      <c r="B90" s="23" t="inlineStr">
        <is>
          <t>Working the canonical path to Max tier earns about $18,225 gross (10x40 + 15x65 + 20x110 + 25x170 + 40x260). Full education costs $4,500 and the complete mall catalogue is roughly $15,000, so no player can buy everything: the economy forces real choices.</t>
        </is>
      </c>
    </row>
    <row r="91"/>
    <row r="92" ht="15" customHeight="1" s="24">
      <c r="A92" s="29" t="inlineStr">
        <is>
          <t>GAME LENGTH IN TURNS (new in v6) — THE TURN LIMIT IS A SETUP VALUE, NEVER A CONSTANT</t>
        </is>
      </c>
    </row>
    <row r="93" ht="15" customHeight="1" s="24">
      <c r="A93" s="27" t="inlineStr">
        <is>
          <t>Turns per Game — options</t>
        </is>
      </c>
      <c r="B93" s="27" t="inlineStr">
        <is>
          <t>10 / 15 / 20 / 30 / 50 / Custom</t>
        </is>
      </c>
      <c r="C93" s="30" t="inlineStr">
        <is>
          <t>Chosen on the Game Setup screen. Custom accepts 5-100.</t>
        </is>
      </c>
    </row>
    <row r="94" ht="15" customHeight="1" s="24">
      <c r="A94" s="27" t="inlineStr">
        <is>
          <t>Default — Short</t>
        </is>
      </c>
      <c r="B94" s="27" t="inlineStr">
        <is>
          <t>20</t>
        </is>
      </c>
      <c r="C94" s="30" t="inlineStr">
        <is>
          <t>Suggested default; the player can change it.</t>
        </is>
      </c>
    </row>
    <row r="95" ht="15" customHeight="1" s="24">
      <c r="A95" s="27" t="inlineStr">
        <is>
          <t>Default — Medium</t>
        </is>
      </c>
      <c r="B95" s="27" t="inlineStr">
        <is>
          <t>40</t>
        </is>
      </c>
      <c r="C95" s="30" t="inlineStr">
        <is>
          <t>Suggested default.</t>
        </is>
      </c>
    </row>
    <row r="96" ht="15" customHeight="1" s="24">
      <c r="A96" s="27" t="inlineStr">
        <is>
          <t>Default — Long</t>
        </is>
      </c>
      <c r="B96" s="27" t="inlineStr">
        <is>
          <t>60</t>
        </is>
      </c>
      <c r="C96" s="30" t="inlineStr">
        <is>
          <t>Suggested default.</t>
        </is>
      </c>
    </row>
    <row r="97" ht="26.85" customHeight="1" s="24">
      <c r="A97" s="27" t="inlineStr">
        <is>
          <t>A turn</t>
        </is>
      </c>
      <c r="B97" s="27" t="inlineStr">
        <is>
          <t>One ROUND</t>
        </is>
      </c>
      <c r="C97" s="30" t="inlineStr">
        <is>
          <t>One turn = one full round in which EVERY participant plays once. The turn counter increments when the round ends, not when a player ends their go.</t>
        </is>
      </c>
    </row>
    <row r="98" ht="15" customHeight="1" s="24">
      <c r="A98" s="27" t="inlineStr">
        <is>
          <t>End condition A</t>
        </is>
      </c>
      <c r="B98" s="27" t="inlineStr">
        <is>
          <t>Turn limit reached</t>
        </is>
      </c>
      <c r="C98" s="30" t="inlineStr">
        <is>
          <t>The game ends when the selected number of ROUNDS has been completed.</t>
        </is>
      </c>
    </row>
    <row r="99" ht="15" customHeight="1" s="24">
      <c r="A99" s="27" t="inlineStr">
        <is>
          <t>End condition B</t>
        </is>
      </c>
      <c r="B99" s="27" t="inlineStr">
        <is>
          <t>A player maxes all 4 main stats</t>
        </is>
      </c>
      <c r="C99" s="30" t="inlineStr">
        <is>
          <t>Finish the current round so everyone has had equal turns, then end.</t>
        </is>
      </c>
    </row>
    <row r="100" ht="15" customHeight="1" s="24">
      <c r="A100" s="27" t="inlineStr">
        <is>
          <t>Which wins</t>
        </is>
      </c>
      <c r="B100" s="27" t="inlineStr">
        <is>
          <t>Whichever happens first</t>
        </is>
      </c>
      <c r="C100" s="30" t="inlineStr">
        <is>
          <t>Both conditions stay live for the whole game.</t>
        </is>
      </c>
    </row>
    <row r="101" ht="26.85" customHeight="1" s="24">
      <c r="A101" s="27" t="inlineStr">
        <is>
          <t>HUD requirement</t>
        </is>
      </c>
      <c r="B101" s="27" t="inlineStr">
        <is>
          <t>Turn X of N</t>
        </is>
      </c>
      <c r="C101" s="30" t="inlineStr">
        <is>
          <t>The selected limit must be visible on screen every turn, and the last round must be announced as FINAL ROUND.</t>
        </is>
      </c>
    </row>
    <row r="102" ht="52.2" customHeight="1" s="24">
      <c r="A102" s="27" t="inlineStr">
        <is>
          <t>BUG FIX v6</t>
        </is>
      </c>
      <c r="B102" s="27" t="inlineStr">
        <is>
          <t>No hardcoded maximum</t>
        </is>
      </c>
      <c r="C102" s="30" t="inlineStr">
        <is>
          <t>The playtest build ended at 15 turns regardless of the value chosen at setup. Two known causes, check both: (1) a hardcoded constant such as MAX_TURNS = 15 in the turn loop; (2) the counter incrementing once per PLAYER turn instead of once per round, which ends a 4-player, 60-player-turn game after 15 rounds. Search the code for every literal 15 before shipping.</t>
        </is>
      </c>
    </row>
    <row r="103"/>
    <row r="104" ht="15" customHeight="1" s="24">
      <c r="A104" s="29" t="inlineStr">
        <is>
          <t>CAREER PATCH v6 — CAREER WAS TOO EASY TO MAX</t>
        </is>
      </c>
    </row>
    <row r="105" ht="52.2" customHeight="1" s="24">
      <c r="A105" s="27" t="inlineStr">
        <is>
          <t>Problem</t>
        </is>
      </c>
      <c r="B105" s="27" t="inlineStr">
        <is>
          <t>Career maxed in under 4 turns</t>
        </is>
      </c>
      <c r="C105" s="30" t="inlineStr">
        <is>
          <t>At Short, Update Resume Secretly cost 1 Time Unit and $0 and gave +5 Career, so six clicks a turn was +30 Career. Work clicks granted Career twice (once from the Actions_Master Work row, once from the job tier), and the 30 university courses added another 90 points against a cap of 100.</t>
        </is>
      </c>
    </row>
    <row r="106" ht="26.85" customHeight="1" s="24">
      <c r="A106" s="27" t="inlineStr">
        <is>
          <t>Fix 1 — single source</t>
        </is>
      </c>
      <c r="B106" s="27" t="inlineStr">
        <is>
          <t>Job tier only</t>
        </is>
      </c>
      <c r="C106" s="30" t="inlineStr">
        <is>
          <t>Career from a work click comes from Jobs_Named / Job_Progression. The Actions_Master Work rows now grant 0 Career and 0 Money.</t>
        </is>
      </c>
    </row>
    <row r="107" ht="15" customHeight="1" s="24">
      <c r="A107" s="27" t="inlineStr">
        <is>
          <t>Fix 2 — lower tier values</t>
        </is>
      </c>
      <c r="B107" s="27" t="inlineStr">
        <is>
          <t>2 / 2 / 3 / 3 / 4 / 5</t>
        </is>
      </c>
      <c r="C107" s="30" t="inlineStr">
        <is>
          <t>Career per click by tier, down from 3 / 5 / 7 / 10.</t>
        </is>
      </c>
    </row>
    <row r="108" ht="15" customHeight="1" s="24">
      <c r="A108" s="27" t="inlineStr">
        <is>
          <t>Fix 3 — education halved</t>
        </is>
      </c>
      <c r="B108" s="27" t="inlineStr">
        <is>
          <t>0.5 / 1 / 1.5 / 2 / 2.5 %B per course</t>
        </is>
      </c>
      <c r="C108" s="30" t="inlineStr">
        <is>
          <t>Path totals 3 / 6 / 9 / 12 / 15 = 45 points at Short, down from 90.</t>
        </is>
      </c>
    </row>
    <row r="109" ht="15" customHeight="1" s="24">
      <c r="A109" s="27" t="inlineStr">
        <is>
          <t>Fix 4 — side actions cut</t>
        </is>
      </c>
      <c r="B109" s="27" t="inlineStr">
        <is>
          <t>Resume 2%B, Team Building 3%B, Get/Change Job 0</t>
        </is>
      </c>
      <c r="C109" s="30" t="inlineStr">
        <is>
          <t>Update Resume Secretly and Attend Team Building Event are also limited to once per turn each.</t>
        </is>
      </c>
    </row>
    <row r="110" ht="39.55" customHeight="1" s="24">
      <c r="A110" s="27" t="inlineStr">
        <is>
          <t>Fix 5 — diminishing returns</t>
        </is>
      </c>
      <c r="B110" s="27" t="inlineStr">
        <is>
          <t>100% / 50% / 25% / 10%</t>
        </is>
      </c>
      <c r="C110" s="30" t="inlineStr">
        <is>
          <t>Within one turn, the 1st Career-granting action pays full, the 2nd half, the 3rd a quarter, the 4th and later a tenth. Round down, minimum 1 point. Applies to every Career source in the order taken. Career only — never Money, never other stats, never card effects.</t>
        </is>
      </c>
    </row>
    <row r="111" ht="15" customHeight="1" s="24">
      <c r="A111" s="27" t="inlineStr">
        <is>
          <t>Result</t>
        </is>
      </c>
      <c r="B111" s="27" t="inlineStr">
        <is>
          <t>About 20 turns of focus to max Career</t>
        </is>
      </c>
      <c r="C111" s="30" t="inlineStr">
        <is>
          <t>Three Mid-tier work clicks now give 3 + 1.5 + 0.75 = 5 Career a turn instead of 18.</t>
        </is>
      </c>
    </row>
    <row r="112" ht="26.85" customHeight="1" s="24">
      <c r="A112" s="27" t="inlineStr">
        <is>
          <t>Watch in playtest</t>
        </is>
      </c>
      <c r="B112" s="27" t="inlineStr">
        <is>
          <t>Career should be the slowest main stat</t>
        </is>
      </c>
      <c r="C112" s="30" t="inlineStr">
        <is>
          <t>If Career now feels impossible rather than merely expensive, raise the tier values before touching the diminishing-returns curve.</t>
        </is>
      </c>
    </row>
    <row r="113"/>
    <row r="114" ht="15" customHeight="1" s="24">
      <c r="A114" s="29" t="inlineStr">
        <is>
          <t>BUILDING DISTANCE PAY (new in v6)</t>
        </is>
      </c>
    </row>
    <row r="115" ht="15" customHeight="1" s="24">
      <c r="A115" s="27" t="inlineStr">
        <is>
          <t>Rule</t>
        </is>
      </c>
      <c r="B115" s="27" t="inlineStr">
        <is>
          <t>Pay = tier pay x building Money Multiplier</t>
        </is>
      </c>
      <c r="C115" s="30" t="inlineStr">
        <is>
          <t>Full table on the Building_Map sheet.</t>
        </is>
      </c>
    </row>
    <row r="116" ht="15" customHeight="1" s="24">
      <c r="A116" s="27" t="inlineStr">
        <is>
          <t>Hub</t>
        </is>
      </c>
      <c r="B116" s="27" t="inlineStr">
        <is>
          <t>Corporate Soul Exchange = 1.00</t>
        </is>
      </c>
      <c r="C116" s="30" t="inlineStr">
        <is>
          <t>The job board and the baseline wage.</t>
        </is>
      </c>
    </row>
    <row r="117" ht="15" customHeight="1" s="24">
      <c r="A117" s="27" t="inlineStr">
        <is>
          <t>Ring 2</t>
        </is>
      </c>
      <c r="B117" s="27" t="inlineStr">
        <is>
          <t>1.10</t>
        </is>
      </c>
      <c r="C117" s="30" t="inlineStr">
        <is>
          <t>Air One Supermarket, High IQ University, Regret Burger.</t>
        </is>
      </c>
    </row>
    <row r="118" ht="15" customHeight="1" s="24">
      <c r="A118" s="27" t="inlineStr">
        <is>
          <t>Ring 3</t>
        </is>
      </c>
      <c r="B118" s="27" t="inlineStr">
        <is>
          <t>1.20</t>
        </is>
      </c>
      <c r="C118" s="30" t="inlineStr">
        <is>
          <t>Bro Science Gym, Bad Decisions Club, Ethical Pet Shop.</t>
        </is>
      </c>
    </row>
    <row r="119" ht="15" customHeight="1" s="24">
      <c r="A119" s="27" t="inlineStr">
        <is>
          <t>Ring 4</t>
        </is>
      </c>
      <c r="B119" s="27" t="inlineStr">
        <is>
          <t>1.35</t>
        </is>
      </c>
      <c r="C119" s="30" t="inlineStr">
        <is>
          <t>Emotional Baggage Airport, Re-Education Temple.</t>
        </is>
      </c>
    </row>
    <row r="120" ht="15" customHeight="1" s="24">
      <c r="A120" s="27" t="inlineStr">
        <is>
          <t>Work From Home</t>
        </is>
      </c>
      <c r="B120" s="27" t="inlineStr">
        <is>
          <t>0.85</t>
        </is>
      </c>
      <c r="C120" s="30" t="inlineStr">
        <is>
          <t>No commute, so it pays less. Still counts as a work click.</t>
        </is>
      </c>
    </row>
    <row r="121" ht="15" customHeight="1" s="24">
      <c r="A121" s="27" t="inlineStr">
        <is>
          <t>Scope</t>
        </is>
      </c>
      <c r="B121" s="27" t="inlineStr">
        <is>
          <t>Money only</t>
        </is>
      </c>
      <c r="C121" s="30" t="inlineStr">
        <is>
          <t>Never applied to Career, stat gains, card effects or investment returns.</t>
        </is>
      </c>
    </row>
    <row r="122"/>
    <row r="123" ht="15" customHeight="1" s="24">
      <c r="A123" s="29" t="inlineStr">
        <is>
          <t>CPU DIFFICULTY (new in v6)</t>
        </is>
      </c>
    </row>
    <row r="124" ht="15" customHeight="1" s="24">
      <c r="A124" s="27" t="inlineStr">
        <is>
          <t>Options</t>
        </is>
      </c>
      <c r="B124" s="27" t="inlineStr">
        <is>
          <t>Easy / Medium / Hard</t>
        </is>
      </c>
      <c r="C124" s="30" t="inlineStr">
        <is>
          <t>Set on Game Setup, globally or per bot. Default Medium.</t>
        </is>
      </c>
    </row>
    <row r="125" ht="26.85" customHeight="1" s="24">
      <c r="A125" s="27" t="inlineStr">
        <is>
          <t>What changes</t>
        </is>
      </c>
      <c r="B125" s="27" t="inlineStr">
        <is>
          <t>Behaviour</t>
        </is>
      </c>
      <c r="C125" s="30" t="inlineStr">
        <is>
          <t>Action choice, planning horizon, upkeep discipline, education and tier ambition, travel for wages, investment use, pet care. Full table on the CPU_Difficulty sheet.</t>
        </is>
      </c>
    </row>
    <row r="126" ht="26.85" customHeight="1" s="24">
      <c r="A126" s="27" t="inlineStr">
        <is>
          <t>Bot-only gain multiplier</t>
        </is>
      </c>
      <c r="B126" s="27" t="inlineStr">
        <is>
          <t>0.85 / 1.00 / 1.10</t>
        </is>
      </c>
      <c r="C126" s="30" t="inlineStr">
        <is>
          <t>Applied to a BOT's action gains only. Never to a human, never to card effects. Show it in the debug panel so it can be switched off for balance testing.</t>
        </is>
      </c>
    </row>
    <row r="127"/>
    <row r="128" ht="15" customHeight="1" s="24">
      <c r="A128" s="29" t="inlineStr">
        <is>
          <t>UNIT CONVENTION — READ THIS BEFORE IMPLEMENTING ANY NUMBER</t>
        </is>
      </c>
    </row>
    <row r="129" ht="64.90000000000001" customHeight="1" s="24">
      <c r="A129" s="27" t="inlineStr">
        <is>
          <t>Cost and Gain columns</t>
        </is>
      </c>
      <c r="B129" s="27" t="inlineStr">
        <is>
          <t>Multiple of B, not a percentage</t>
        </is>
      </c>
      <c r="C129" s="30" t="inlineStr">
        <is>
          <t>A value of 1.0 means 100% of B. At the Short baseline (B = 100): 0.05 = $5, 0.5 = $50, 1 = $100, 4 = $400, 20 = $2,000. Reading these as percentages makes low rent cost $1, luxury rent $4, the homeless cheque $2 and a car $20, and silently destroys the economy. The v5 column headers said "%B", which is the likeliest single cause of the rent and wage bugs reported in playtest. Headers are renamed "(xB)" in v6.</t>
        </is>
      </c>
    </row>
    <row r="130" ht="26.85" customHeight="1" s="24">
      <c r="A130" s="27" t="inlineStr">
        <is>
          <t>Flat bonuses</t>
        </is>
      </c>
      <c r="B130" s="27" t="inlineStr">
        <is>
          <t>Fixed points, never scaled</t>
        </is>
      </c>
      <c r="C130" s="30" t="inlineStr">
        <is>
          <t>Item trigger bonuses and the new Chest Day adjustments are flat point values. They are not multiplied by B and not modified by personality, pet or item modifiers.</t>
        </is>
      </c>
    </row>
    <row r="131"/>
    <row r="132" ht="15" customHeight="1" s="24">
      <c r="A132" s="29" t="inlineStr">
        <is>
          <t>HOME COMFORT VS LEAVING THE HOUSE (v6)</t>
        </is>
      </c>
    </row>
    <row r="133" ht="26.85" customHeight="1" s="24">
      <c r="A133" s="27" t="inlineStr">
        <is>
          <t>Problem</t>
        </is>
      </c>
      <c r="B133" s="27" t="inlineStr">
        <is>
          <t>Home exercise beat the gym</t>
        </is>
      </c>
      <c r="C133" s="30" t="inlineStr">
        <is>
          <t>Exercise in Condo Gym gave 6%B Health for 1 Time Unit, free, with no travel — the best Health-per-Time-Unit action in the game, available without leaving the sofa.</t>
        </is>
      </c>
    </row>
    <row r="134" ht="15" customHeight="1" s="24">
      <c r="A134" s="27" t="inlineStr">
        <is>
          <t>Fix</t>
        </is>
      </c>
      <c r="B134" s="27" t="inlineStr">
        <is>
          <t>Home exercise 2.5-3%B, max 2 per turn</t>
        </is>
      </c>
      <c r="C134" s="30" t="inlineStr">
        <is>
          <t>Exercise in Former Yard 4%B -&gt; 2.5%B. Exercise in Condo Gym 6%B -&gt; 3%B.</t>
        </is>
      </c>
    </row>
    <row r="135" ht="39.55" customHeight="1" s="24">
      <c r="A135" s="27" t="inlineStr">
        <is>
          <t>Gym buffed</t>
        </is>
      </c>
      <c r="B135" s="27" t="inlineStr">
        <is>
          <t>Health up and Connection added</t>
        </is>
      </c>
      <c r="C135" s="30" t="inlineStr">
        <is>
          <t>Cardio 5 -&gt; 6%B +2%B Connection. Bootcamp 10 -&gt; 12%B +3%B Connection. Personal Best 8 -&gt; 10%B and flat Connection +1. New action: Group Fitness Class, 2 Time Units, 6%B Connection + 5%B Health + flat Coolness +1.</t>
        </is>
      </c>
    </row>
    <row r="136" ht="26.85" customHeight="1" s="24">
      <c r="A136" s="27" t="inlineStr">
        <is>
          <t>Principle</t>
        </is>
      </c>
      <c r="B136" s="27" t="inlineStr">
        <is>
          <t>Travel must buy something</t>
        </is>
      </c>
      <c r="C136" s="30" t="inlineStr">
        <is>
          <t>Any action available at home must be weaker per Time Unit than the equivalent action that costs 1-3 Time Units of travel to reach.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3" min="1" max="1"/>
    <col width="16" customWidth="1" style="23" min="2" max="2"/>
    <col width="18" customWidth="1" style="23" min="3" max="3"/>
    <col width="16" customWidth="1" style="23" min="4" max="4"/>
    <col width="18" customWidth="1" style="23" min="5" max="5"/>
    <col width="68" customWidth="1" style="23" min="6" max="6"/>
  </cols>
  <sheetData>
    <row r="1" ht="15" customHeight="1" s="24">
      <c r="A1" s="31" t="inlineStr">
        <is>
          <t>Type</t>
        </is>
      </c>
      <c r="B1" s="31" t="inlineStr">
        <is>
          <t>Main Strength</t>
        </is>
      </c>
      <c r="C1" s="31" t="inlineStr">
        <is>
          <t>Upkeep Strength</t>
        </is>
      </c>
      <c r="D1" s="31" t="inlineStr">
        <is>
          <t>Main Weakness</t>
        </is>
      </c>
      <c r="E1" s="31" t="inlineStr">
        <is>
          <t>Upkeep Weakness</t>
        </is>
      </c>
      <c r="F1" s="31" t="inlineStr">
        <is>
          <t>Notes</t>
        </is>
      </c>
    </row>
    <row r="2" ht="15" customHeight="1" s="24">
      <c r="A2" s="23" t="inlineStr">
        <is>
          <t>ENFP</t>
        </is>
      </c>
      <c r="B2" s="23" t="inlineStr">
        <is>
          <t>Happiness</t>
        </is>
      </c>
      <c r="C2" s="23" t="inlineStr">
        <is>
          <t>Coolness Factor</t>
        </is>
      </c>
      <c r="D2" s="23" t="inlineStr">
        <is>
          <t>Health</t>
        </is>
      </c>
      <c r="E2" s="23" t="inlineStr">
        <is>
          <t>Money</t>
        </is>
      </c>
    </row>
    <row r="3" ht="15" customHeight="1" s="24">
      <c r="A3" s="23" t="inlineStr">
        <is>
          <t>ESTP</t>
        </is>
      </c>
      <c r="B3" s="23" t="inlineStr">
        <is>
          <t>Health</t>
        </is>
      </c>
      <c r="C3" s="23" t="inlineStr">
        <is>
          <t>Money</t>
        </is>
      </c>
      <c r="D3" s="23" t="inlineStr">
        <is>
          <t>Happiness</t>
        </is>
      </c>
      <c r="E3" s="23" t="inlineStr">
        <is>
          <t>Enlightenment</t>
        </is>
      </c>
      <c r="F3" s="23" t="inlineStr">
        <is>
          <t>Engine type (Career or Money strength): lower net budget by design, offset by income/economic snowball</t>
        </is>
      </c>
    </row>
    <row r="4" ht="15" customHeight="1" s="24">
      <c r="A4" s="23" t="inlineStr">
        <is>
          <t>ENTP</t>
        </is>
      </c>
      <c r="B4" s="23" t="inlineStr">
        <is>
          <t>Health</t>
        </is>
      </c>
      <c r="C4" s="23" t="inlineStr">
        <is>
          <t>Critical Thinking</t>
        </is>
      </c>
      <c r="D4" s="23" t="inlineStr">
        <is>
          <t>Connection</t>
        </is>
      </c>
      <c r="E4" s="23" t="inlineStr">
        <is>
          <t>Enlightenment</t>
        </is>
      </c>
    </row>
    <row r="5" ht="15" customHeight="1" s="24">
      <c r="A5" s="23" t="inlineStr">
        <is>
          <t>ESFP</t>
        </is>
      </c>
      <c r="B5" s="23" t="inlineStr">
        <is>
          <t>Happiness</t>
        </is>
      </c>
      <c r="C5" s="23" t="inlineStr">
        <is>
          <t>Coolness Factor</t>
        </is>
      </c>
      <c r="D5" s="23" t="inlineStr">
        <is>
          <t>Career</t>
        </is>
      </c>
      <c r="E5" s="23" t="inlineStr">
        <is>
          <t>Critical Thinking</t>
        </is>
      </c>
    </row>
    <row r="6" ht="15" customHeight="1" s="24">
      <c r="A6" s="23" t="inlineStr">
        <is>
          <t>ENFJ</t>
        </is>
      </c>
      <c r="B6" s="23" t="inlineStr">
        <is>
          <t>Connection</t>
        </is>
      </c>
      <c r="C6" s="23" t="inlineStr">
        <is>
          <t>Enlightenment</t>
        </is>
      </c>
      <c r="D6" s="23" t="inlineStr">
        <is>
          <t>Health</t>
        </is>
      </c>
      <c r="E6" s="23" t="inlineStr">
        <is>
          <t>Money</t>
        </is>
      </c>
    </row>
    <row r="7" ht="15" customHeight="1" s="24">
      <c r="A7" s="23" t="inlineStr">
        <is>
          <t>ESFJ</t>
        </is>
      </c>
      <c r="B7" s="23" t="inlineStr">
        <is>
          <t>Connection</t>
        </is>
      </c>
      <c r="C7" s="23" t="inlineStr">
        <is>
          <t>Coolness Factor</t>
        </is>
      </c>
      <c r="D7" s="23" t="inlineStr">
        <is>
          <t>Health</t>
        </is>
      </c>
      <c r="E7" s="23" t="inlineStr">
        <is>
          <t>Critical Thinking</t>
        </is>
      </c>
    </row>
    <row r="8" ht="15" customHeight="1" s="24">
      <c r="A8" s="23" t="inlineStr">
        <is>
          <t>ENTJ</t>
        </is>
      </c>
      <c r="B8" s="23" t="inlineStr">
        <is>
          <t>Career</t>
        </is>
      </c>
      <c r="C8" s="23" t="inlineStr">
        <is>
          <t>Money</t>
        </is>
      </c>
      <c r="D8" s="23" t="inlineStr">
        <is>
          <t>Happiness</t>
        </is>
      </c>
      <c r="E8" s="23" t="inlineStr">
        <is>
          <t>Coolness Factor</t>
        </is>
      </c>
      <c r="F8" s="23" t="inlineStr">
        <is>
          <t>Engine type (Career or Money strength): lower net budget by design, offset by income/economic snowball</t>
        </is>
      </c>
    </row>
    <row r="9" ht="15" customHeight="1" s="24">
      <c r="A9" s="23" t="inlineStr">
        <is>
          <t>ESTJ</t>
        </is>
      </c>
      <c r="B9" s="23" t="inlineStr">
        <is>
          <t>Career</t>
        </is>
      </c>
      <c r="C9" s="23" t="inlineStr">
        <is>
          <t>Money</t>
        </is>
      </c>
      <c r="D9" s="23" t="inlineStr">
        <is>
          <t>Happiness</t>
        </is>
      </c>
      <c r="E9" s="23" t="inlineStr">
        <is>
          <t>Enlightenment</t>
        </is>
      </c>
      <c r="F9" s="23" t="inlineStr">
        <is>
          <t>Engine type (Career or Money strength): lower net budget by design, offset by income/economic snowball</t>
        </is>
      </c>
    </row>
    <row r="10" ht="15" customHeight="1" s="24">
      <c r="A10" s="23" t="inlineStr">
        <is>
          <t>INTJ</t>
        </is>
      </c>
      <c r="B10" s="23" t="inlineStr">
        <is>
          <t>Career</t>
        </is>
      </c>
      <c r="C10" s="23" t="inlineStr">
        <is>
          <t>Critical Thinking</t>
        </is>
      </c>
      <c r="D10" s="23" t="inlineStr">
        <is>
          <t>Health</t>
        </is>
      </c>
      <c r="E10" s="23" t="inlineStr">
        <is>
          <t>Coolness Factor</t>
        </is>
      </c>
      <c r="F10" s="23" t="inlineStr">
        <is>
          <t>Engine type (Career or Money strength): lower net budget by design, offset by income/economic snowball</t>
        </is>
      </c>
    </row>
    <row r="11" ht="15" customHeight="1" s="24">
      <c r="A11" s="23" t="inlineStr">
        <is>
          <t>ISTJ</t>
        </is>
      </c>
      <c r="B11" s="23" t="inlineStr">
        <is>
          <t>Career</t>
        </is>
      </c>
      <c r="C11" s="23" t="inlineStr">
        <is>
          <t>Money</t>
        </is>
      </c>
      <c r="D11" s="23" t="inlineStr">
        <is>
          <t>Connection</t>
        </is>
      </c>
      <c r="E11" s="23" t="inlineStr">
        <is>
          <t>Coolness Factor</t>
        </is>
      </c>
      <c r="F11" s="23" t="inlineStr">
        <is>
          <t>Engine type (Career or Money strength): lower net budget by design, offset by income/economic snowball</t>
        </is>
      </c>
    </row>
    <row r="12" ht="15" customHeight="1" s="24">
      <c r="A12" s="23" t="inlineStr">
        <is>
          <t>ISFJ</t>
        </is>
      </c>
      <c r="B12" s="23" t="inlineStr">
        <is>
          <t>Connection</t>
        </is>
      </c>
      <c r="C12" s="23" t="inlineStr">
        <is>
          <t>Enlightenment</t>
        </is>
      </c>
      <c r="D12" s="23" t="inlineStr">
        <is>
          <t>Happiness</t>
        </is>
      </c>
      <c r="E12" s="23" t="inlineStr">
        <is>
          <t>Critical Thinking</t>
        </is>
      </c>
    </row>
    <row r="13" ht="15" customHeight="1" s="24">
      <c r="A13" s="23" t="inlineStr">
        <is>
          <t>INFJ</t>
        </is>
      </c>
      <c r="B13" s="23" t="inlineStr">
        <is>
          <t>Connection</t>
        </is>
      </c>
      <c r="C13" s="23" t="inlineStr">
        <is>
          <t>Enlightenment</t>
        </is>
      </c>
      <c r="D13" s="23" t="inlineStr">
        <is>
          <t>Career</t>
        </is>
      </c>
      <c r="E13" s="23" t="inlineStr">
        <is>
          <t>Money</t>
        </is>
      </c>
    </row>
    <row r="14" ht="15" customHeight="1" s="24">
      <c r="A14" s="23" t="inlineStr">
        <is>
          <t>INFP</t>
        </is>
      </c>
      <c r="B14" s="23" t="inlineStr">
        <is>
          <t>Happiness</t>
        </is>
      </c>
      <c r="C14" s="23" t="inlineStr">
        <is>
          <t>Enlightenment</t>
        </is>
      </c>
      <c r="D14" s="23" t="inlineStr">
        <is>
          <t>Career</t>
        </is>
      </c>
      <c r="E14" s="23" t="inlineStr">
        <is>
          <t>Money</t>
        </is>
      </c>
    </row>
    <row r="15" ht="15" customHeight="1" s="24">
      <c r="A15" s="23" t="inlineStr">
        <is>
          <t>ISFP</t>
        </is>
      </c>
      <c r="B15" s="23" t="inlineStr">
        <is>
          <t>Happiness</t>
        </is>
      </c>
      <c r="C15" s="23" t="inlineStr">
        <is>
          <t>Coolness Factor</t>
        </is>
      </c>
      <c r="D15" s="23" t="inlineStr">
        <is>
          <t>Career</t>
        </is>
      </c>
      <c r="E15" s="23" t="inlineStr">
        <is>
          <t>Critical Thinking</t>
        </is>
      </c>
    </row>
    <row r="16" ht="15" customHeight="1" s="24">
      <c r="A16" s="23" t="inlineStr">
        <is>
          <t>ISTP</t>
        </is>
      </c>
      <c r="B16" s="23" t="inlineStr">
        <is>
          <t>Health</t>
        </is>
      </c>
      <c r="C16" s="23" t="inlineStr">
        <is>
          <t>Critical Thinking</t>
        </is>
      </c>
      <c r="D16" s="23" t="inlineStr">
        <is>
          <t>Connection</t>
        </is>
      </c>
      <c r="E16" s="23" t="inlineStr">
        <is>
          <t>Enlightenment</t>
        </is>
      </c>
    </row>
    <row r="17" ht="15" customHeight="1" s="24">
      <c r="A17" s="23" t="inlineStr">
        <is>
          <t>INTP</t>
        </is>
      </c>
      <c r="B17" s="23" t="inlineStr">
        <is>
          <t>Health</t>
        </is>
      </c>
      <c r="C17" s="23" t="inlineStr">
        <is>
          <t>Critical Thinking</t>
        </is>
      </c>
      <c r="D17" s="23" t="inlineStr">
        <is>
          <t>Connection</t>
        </is>
      </c>
      <c r="E17" s="23" t="inlineStr">
        <is>
          <t>Coolness Factor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3" min="1" max="1"/>
    <col width="14" customWidth="1" style="23" min="2" max="3"/>
    <col width="12" customWidth="1" style="23" min="4" max="4"/>
    <col width="60" customWidth="1" style="23" min="5" max="5"/>
  </cols>
  <sheetData>
    <row r="1" ht="15" customHeight="1" s="24">
      <c r="A1" s="26" t="inlineStr">
        <is>
          <t>Why v2 exists: in v1, strength/weakness sizes varied so much per stat that net modifier budgets ranged from -2 (ENTJ/ESTJ/ISTJ) to +25 (INFJ/INFP), a 27-point spread. v2 unifies weakness penalties (main -10, upkeep -8), closing the spread to 15 points (+2 to +17). Career/Money-strength types remain intentionally lowest, offset by their income/job snowball rather than by stat-modifier perks.</t>
        </is>
      </c>
    </row>
    <row r="3" ht="15" customHeight="1" s="24">
      <c r="A3" s="31" t="inlineStr">
        <is>
          <t>Type</t>
        </is>
      </c>
      <c r="B3" s="31" t="inlineStr">
        <is>
          <t>v1 Net Budget</t>
        </is>
      </c>
      <c r="C3" s="31" t="inlineStr">
        <is>
          <t>v2 Net Budget</t>
        </is>
      </c>
      <c r="D3" s="31" t="inlineStr">
        <is>
          <t>Change</t>
        </is>
      </c>
      <c r="E3" s="31" t="inlineStr">
        <is>
          <t>Notes</t>
        </is>
      </c>
    </row>
    <row r="4" ht="15" customHeight="1" s="24">
      <c r="A4" s="23" t="inlineStr">
        <is>
          <t>ENFP</t>
        </is>
      </c>
      <c r="B4" s="23" t="n">
        <v>18</v>
      </c>
      <c r="C4" s="23" t="n">
        <v>17</v>
      </c>
      <c r="D4" s="23">
        <f>C4-B4</f>
        <v/>
      </c>
    </row>
    <row r="5" ht="15" customHeight="1" s="24">
      <c r="A5" s="23" t="inlineStr">
        <is>
          <t>ESTP</t>
        </is>
      </c>
      <c r="B5" s="23" t="n">
        <v>8</v>
      </c>
      <c r="C5" s="23" t="n">
        <v>12</v>
      </c>
      <c r="D5" s="23">
        <f>C5-B5</f>
        <v/>
      </c>
      <c r="E5" s="23" t="inlineStr">
        <is>
          <t>Engine type: lower budget by design, offset by income/job snowball</t>
        </is>
      </c>
    </row>
    <row r="6" ht="15" customHeight="1" s="24">
      <c r="A6" s="23" t="inlineStr">
        <is>
          <t>ENTP</t>
        </is>
      </c>
      <c r="B6" s="23" t="n">
        <v>13</v>
      </c>
      <c r="C6" s="23" t="n">
        <v>17</v>
      </c>
      <c r="D6" s="23">
        <f>C6-B6</f>
        <v/>
      </c>
    </row>
    <row r="7" ht="15" customHeight="1" s="24">
      <c r="A7" s="23" t="inlineStr">
        <is>
          <t>ESFP</t>
        </is>
      </c>
      <c r="B7" s="23" t="n">
        <v>20</v>
      </c>
      <c r="C7" s="23" t="n">
        <v>17</v>
      </c>
      <c r="D7" s="23">
        <f>C7-B7</f>
        <v/>
      </c>
    </row>
    <row r="8" ht="15" customHeight="1" s="24">
      <c r="A8" s="23" t="inlineStr">
        <is>
          <t>ENFJ</t>
        </is>
      </c>
      <c r="B8" s="23" t="n">
        <v>18</v>
      </c>
      <c r="C8" s="23" t="n">
        <v>17</v>
      </c>
      <c r="D8" s="23">
        <f>C8-B8</f>
        <v/>
      </c>
    </row>
    <row r="9" ht="15" customHeight="1" s="24">
      <c r="A9" s="23" t="inlineStr">
        <is>
          <t>ESFJ</t>
        </is>
      </c>
      <c r="B9" s="23" t="n">
        <v>13</v>
      </c>
      <c r="C9" s="23" t="n">
        <v>17</v>
      </c>
      <c r="D9" s="23">
        <f>C9-B9</f>
        <v/>
      </c>
    </row>
    <row r="10" ht="15" customHeight="1" s="24">
      <c r="A10" s="23" t="inlineStr">
        <is>
          <t>ENTJ</t>
        </is>
      </c>
      <c r="B10" s="23" t="n">
        <v>-2</v>
      </c>
      <c r="C10" s="23" t="n">
        <v>2</v>
      </c>
      <c r="D10" s="23">
        <f>C10-B10</f>
        <v/>
      </c>
      <c r="E10" s="23" t="inlineStr">
        <is>
          <t>Engine type: lower budget by design, offset by income/job snowball</t>
        </is>
      </c>
    </row>
    <row r="11" ht="15" customHeight="1" s="24">
      <c r="A11" s="23" t="inlineStr">
        <is>
          <t>ESTJ</t>
        </is>
      </c>
      <c r="B11" s="23" t="n">
        <v>-2</v>
      </c>
      <c r="C11" s="23" t="n">
        <v>2</v>
      </c>
      <c r="D11" s="23">
        <f>C11-B11</f>
        <v/>
      </c>
      <c r="E11" s="23" t="inlineStr">
        <is>
          <t>Engine type: lower budget by design, offset by income/job snowball</t>
        </is>
      </c>
    </row>
    <row r="12" ht="15" customHeight="1" s="24">
      <c r="A12" s="23" t="inlineStr">
        <is>
          <t>INTJ</t>
        </is>
      </c>
      <c r="B12" s="23" t="n">
        <v>3</v>
      </c>
      <c r="C12" s="23" t="n">
        <v>7</v>
      </c>
      <c r="D12" s="23">
        <f>C12-B12</f>
        <v/>
      </c>
      <c r="E12" s="23" t="inlineStr">
        <is>
          <t>Engine type: lower budget by design, offset by income/job snowball</t>
        </is>
      </c>
    </row>
    <row r="13" ht="15" customHeight="1" s="24">
      <c r="A13" s="23" t="inlineStr">
        <is>
          <t>ISTJ</t>
        </is>
      </c>
      <c r="B13" s="23" t="n">
        <v>-2</v>
      </c>
      <c r="C13" s="23" t="n">
        <v>2</v>
      </c>
      <c r="D13" s="23">
        <f>C13-B13</f>
        <v/>
      </c>
      <c r="E13" s="23" t="inlineStr">
        <is>
          <t>Engine type: lower budget by design, offset by income/job snowball</t>
        </is>
      </c>
    </row>
    <row r="14" ht="15" customHeight="1" s="24">
      <c r="A14" s="23" t="inlineStr">
        <is>
          <t>ISFJ</t>
        </is>
      </c>
      <c r="B14" s="23" t="n">
        <v>13</v>
      </c>
      <c r="C14" s="23" t="n">
        <v>17</v>
      </c>
      <c r="D14" s="23">
        <f>C14-B14</f>
        <v/>
      </c>
    </row>
    <row r="15" ht="15" customHeight="1" s="24">
      <c r="A15" s="23" t="inlineStr">
        <is>
          <t>INFJ</t>
        </is>
      </c>
      <c r="B15" s="23" t="n">
        <v>25</v>
      </c>
      <c r="C15" s="23" t="n">
        <v>17</v>
      </c>
      <c r="D15" s="23">
        <f>C15-B15</f>
        <v/>
      </c>
    </row>
    <row r="16" ht="15" customHeight="1" s="24">
      <c r="A16" s="23" t="inlineStr">
        <is>
          <t>INFP</t>
        </is>
      </c>
      <c r="B16" s="23" t="n">
        <v>25</v>
      </c>
      <c r="C16" s="23" t="n">
        <v>17</v>
      </c>
      <c r="D16" s="23">
        <f>C16-B16</f>
        <v/>
      </c>
    </row>
    <row r="17" ht="15" customHeight="1" s="24">
      <c r="A17" s="23" t="inlineStr">
        <is>
          <t>ISFP</t>
        </is>
      </c>
      <c r="B17" s="23" t="n">
        <v>20</v>
      </c>
      <c r="C17" s="23" t="n">
        <v>17</v>
      </c>
      <c r="D17" s="23">
        <f>C17-B17</f>
        <v/>
      </c>
    </row>
    <row r="18" ht="15" customHeight="1" s="24">
      <c r="A18" s="23" t="inlineStr">
        <is>
          <t>ISTP</t>
        </is>
      </c>
      <c r="B18" s="23" t="n">
        <v>13</v>
      </c>
      <c r="C18" s="23" t="n">
        <v>17</v>
      </c>
      <c r="D18" s="23">
        <f>C18-B18</f>
        <v/>
      </c>
    </row>
    <row r="19" ht="15" customHeight="1" s="24">
      <c r="A19" s="23" t="inlineStr">
        <is>
          <t>INTP</t>
        </is>
      </c>
      <c r="B19" s="23" t="n">
        <v>13</v>
      </c>
      <c r="C19" s="23" t="n">
        <v>17</v>
      </c>
      <c r="D19" s="23">
        <f>C19-B19</f>
        <v/>
      </c>
    </row>
    <row r="21" ht="15" customHeight="1" s="24">
      <c r="A21" s="26" t="inlineStr">
        <is>
          <t>v1 spread</t>
        </is>
      </c>
      <c r="B21" s="23">
        <f>MAX(B4:B19)-MIN(B4:B19)</f>
        <v/>
      </c>
      <c r="C21" s="26" t="inlineStr">
        <is>
          <t>v2 spread</t>
        </is>
      </c>
      <c r="D21" s="23">
        <f>MAX(C4:C19)-MIN(C4:C19)</f>
        <v/>
      </c>
    </row>
    <row r="23" ht="15" customHeight="1" s="24">
      <c r="A23" s="23" t="inlineStr">
        <is>
          <t>Ongoing rule: log the winning personality in the debug panel every playtest. If any type's win rate leaves the 15-35 percent band (4-player expected = 25 percent) over 20+ games, adjust one weakness by 1-2 points and retest.</t>
        </is>
      </c>
    </row>
  </sheetData>
  <mergeCells count="2">
    <mergeCell ref="A1:F1"/>
    <mergeCell ref="A23:F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3" min="1" max="2"/>
    <col width="14" customWidth="1" style="23" min="3" max="5"/>
    <col width="10" customWidth="1" style="23" min="6" max="6"/>
    <col width="16" customWidth="1" style="23" min="7" max="7"/>
    <col width="52" customWidth="1" style="23" min="8" max="8"/>
  </cols>
  <sheetData>
    <row r="1" ht="75" customHeight="1" s="24">
      <c r="A1" s="30" t="inlineStr">
        <is>
          <t>BUILDING MAP AND DISTANCE PAY (new in v6). Wages are no longer identical everywhere. The Corporate Soul Exchange is the hub of the map and pays the baseline; the further a building sits from it, the higher its Money Multiplier, because getting there and back costs Time Units you could have spent working. The multiplier applies to MONEY ONLY — never to Career, never to stat gains, never to card effects. Pay per click = tier pay (Job_Progression) x building Money Multiplier, rounded to the nearest dollar. Display Name is the name shown in the build; if the build renames a building, record it here.</t>
        </is>
      </c>
    </row>
    <row r="3" ht="52.2" customHeight="1" s="24">
      <c r="A3" s="34" t="inlineStr">
        <is>
          <t>Building (canonical)</t>
        </is>
      </c>
      <c r="B3" s="34" t="inlineStr">
        <is>
          <t>Display Name in build</t>
        </is>
      </c>
      <c r="C3" s="34" t="inlineStr">
        <is>
          <t>Ring (distance from Corporate)</t>
        </is>
      </c>
      <c r="D3" s="34" t="inlineStr">
        <is>
          <t>Travel Time Units from Corporate</t>
        </is>
      </c>
      <c r="E3" s="34" t="inlineStr">
        <is>
          <t>Money Multiplier (v6)</t>
        </is>
      </c>
      <c r="F3" s="34" t="inlineStr">
        <is>
          <t>Has jobs?</t>
        </is>
      </c>
      <c r="G3" s="34" t="inlineStr">
        <is>
          <t>Pay example — Mid tier ($110 base)</t>
        </is>
      </c>
      <c r="H3" s="34" t="inlineStr">
        <is>
          <t>Notes</t>
        </is>
      </c>
    </row>
    <row r="4" ht="26.85" customHeight="1" s="24">
      <c r="A4" s="27" t="inlineStr">
        <is>
          <t>Corporate Soul Exchange</t>
        </is>
      </c>
      <c r="B4" s="27" t="inlineStr">
        <is>
          <t>Corporate Soul Exchange</t>
        </is>
      </c>
      <c r="C4" s="27" t="n">
        <v>1</v>
      </c>
      <c r="D4" s="27" t="n">
        <v>0</v>
      </c>
      <c r="E4" s="27" t="n">
        <v>1</v>
      </c>
      <c r="F4" s="27" t="inlineStr">
        <is>
          <t>Yes</t>
        </is>
      </c>
      <c r="G4" s="27">
        <f>ROUND(110*E4,0)</f>
        <v/>
      </c>
      <c r="H4" s="30" t="inlineStr">
        <is>
          <t>The hub. Baseline pay. Also the job board: every job change happens here.</t>
        </is>
      </c>
    </row>
    <row r="5" ht="26.85" customHeight="1" s="24">
      <c r="A5" s="27" t="inlineStr">
        <is>
          <t>Debtstreet Capital</t>
        </is>
      </c>
      <c r="B5" s="27" t="inlineStr">
        <is>
          <t>Debtstreet Capital</t>
        </is>
      </c>
      <c r="C5" s="27" t="n">
        <v>1</v>
      </c>
      <c r="D5" s="27" t="n">
        <v>1</v>
      </c>
      <c r="E5" s="27" t="n">
        <v>1</v>
      </c>
      <c r="F5" s="27" t="inlineStr">
        <is>
          <t>Yes</t>
        </is>
      </c>
      <c r="G5" s="27">
        <f>ROUND(110*E5,0)</f>
        <v/>
      </c>
      <c r="H5" s="30" t="inlineStr">
        <is>
          <t>Across the plaza from Corporate. Baseline pay, but the investment desk is here.</t>
        </is>
      </c>
    </row>
    <row r="6" ht="26.85" customHeight="1" s="24">
      <c r="A6" s="27" t="inlineStr">
        <is>
          <t>Mall</t>
        </is>
      </c>
      <c r="B6" s="27" t="inlineStr">
        <is>
          <t>Mall</t>
        </is>
      </c>
      <c r="C6" s="27" t="n">
        <v>1</v>
      </c>
      <c r="D6" s="27" t="n">
        <v>1</v>
      </c>
      <c r="E6" s="27" t="n">
        <v>1</v>
      </c>
      <c r="F6" s="27" t="inlineStr">
        <is>
          <t>Yes</t>
        </is>
      </c>
      <c r="G6" s="27">
        <f>ROUND(110*E6,0)</f>
        <v/>
      </c>
      <c r="H6" s="30" t="inlineStr">
        <is>
          <t>Baseline pay. Compensated by being where every item is bought.</t>
        </is>
      </c>
    </row>
    <row r="7" ht="15" customHeight="1" s="24">
      <c r="A7" s="27" t="inlineStr">
        <is>
          <t>Air One Supermarket</t>
        </is>
      </c>
      <c r="B7" s="27" t="inlineStr">
        <is>
          <t>Air One Supermarket</t>
        </is>
      </c>
      <c r="C7" s="27" t="n">
        <v>2</v>
      </c>
      <c r="D7" s="27" t="n">
        <v>1</v>
      </c>
      <c r="E7" s="27" t="n">
        <v>1.1</v>
      </c>
      <c r="F7" s="27" t="inlineStr">
        <is>
          <t>Yes</t>
        </is>
      </c>
      <c r="G7" s="27">
        <f>ROUND(110*E7,0)</f>
        <v/>
      </c>
      <c r="H7" s="30" t="inlineStr">
        <is>
          <t>One ring out. Food route.</t>
        </is>
      </c>
    </row>
    <row r="8" ht="15" customHeight="1" s="24">
      <c r="A8" s="27" t="inlineStr">
        <is>
          <t>High IQ University</t>
        </is>
      </c>
      <c r="B8" s="27" t="inlineStr">
        <is>
          <t>High IQ University</t>
        </is>
      </c>
      <c r="C8" s="27" t="n">
        <v>2</v>
      </c>
      <c r="D8" s="27" t="n">
        <v>1</v>
      </c>
      <c r="E8" s="27" t="n">
        <v>1.1</v>
      </c>
      <c r="F8" s="27" t="inlineStr">
        <is>
          <t>Yes</t>
        </is>
      </c>
      <c r="G8" s="27">
        <f>ROUND(110*E8,0)</f>
        <v/>
      </c>
      <c r="H8" s="30" t="inlineStr">
        <is>
          <t>One ring out. Education route.</t>
        </is>
      </c>
    </row>
    <row r="9" ht="15" customHeight="1" s="24">
      <c r="A9" s="27" t="inlineStr">
        <is>
          <t>Regret Burger</t>
        </is>
      </c>
      <c r="B9" s="27" t="inlineStr">
        <is>
          <t>Regret Burger</t>
        </is>
      </c>
      <c r="C9" s="27" t="n">
        <v>2</v>
      </c>
      <c r="D9" s="27" t="n">
        <v>1</v>
      </c>
      <c r="E9" s="27" t="n">
        <v>1.1</v>
      </c>
      <c r="F9" s="27" t="inlineStr">
        <is>
          <t>Yes</t>
        </is>
      </c>
      <c r="G9" s="27">
        <f>ROUND(110*E9,0)</f>
        <v/>
      </c>
      <c r="H9" s="30" t="inlineStr">
        <is>
          <t>One ring out. Cheap food route.</t>
        </is>
      </c>
    </row>
    <row r="10" ht="26.85" customHeight="1" s="24">
      <c r="A10" s="27" t="inlineStr">
        <is>
          <t>Low Cost Housing</t>
        </is>
      </c>
      <c r="B10" s="27" t="inlineStr">
        <is>
          <t>Low Cost Housing</t>
        </is>
      </c>
      <c r="C10" s="27" t="n">
        <v>2</v>
      </c>
      <c r="D10" s="27" t="n">
        <v>1</v>
      </c>
      <c r="E10" s="27" t="n">
        <v>1</v>
      </c>
      <c r="F10" s="27" t="inlineStr">
        <is>
          <t>No</t>
        </is>
      </c>
      <c r="G10" s="27" t="inlineStr">
        <is>
          <t>—</t>
        </is>
      </c>
      <c r="H10" s="30" t="inlineStr">
        <is>
          <t>Starting home. No jobs. Work From Home uses the 0.85 convenience multiplier (see below).</t>
        </is>
      </c>
    </row>
    <row r="11" ht="15" customHeight="1" s="24">
      <c r="A11" s="27" t="inlineStr">
        <is>
          <t>Bro Science Gym</t>
        </is>
      </c>
      <c r="B11" s="27" t="inlineStr">
        <is>
          <t>Bro Science Gym</t>
        </is>
      </c>
      <c r="C11" s="27" t="n">
        <v>3</v>
      </c>
      <c r="D11" s="27" t="n">
        <v>2</v>
      </c>
      <c r="E11" s="27" t="n">
        <v>1.2</v>
      </c>
      <c r="F11" s="27" t="inlineStr">
        <is>
          <t>Yes</t>
        </is>
      </c>
      <c r="G11" s="27">
        <f>ROUND(110*E11,0)</f>
        <v/>
      </c>
      <c r="H11" s="30" t="inlineStr">
        <is>
          <t>Two rings out. Health and Connection route.</t>
        </is>
      </c>
    </row>
    <row r="12" ht="15" customHeight="1" s="24">
      <c r="A12" s="27" t="inlineStr">
        <is>
          <t>Bad Decisions Club</t>
        </is>
      </c>
      <c r="B12" s="27" t="inlineStr">
        <is>
          <t>Bad Decisions Club</t>
        </is>
      </c>
      <c r="C12" s="27" t="n">
        <v>3</v>
      </c>
      <c r="D12" s="27" t="n">
        <v>2</v>
      </c>
      <c r="E12" s="27" t="n">
        <v>1.2</v>
      </c>
      <c r="F12" s="27" t="inlineStr">
        <is>
          <t>Yes</t>
        </is>
      </c>
      <c r="G12" s="27">
        <f>ROUND(110*E12,0)</f>
        <v/>
      </c>
      <c r="H12" s="30" t="inlineStr">
        <is>
          <t>Two rings out. Night-side of the map.</t>
        </is>
      </c>
    </row>
    <row r="13" ht="15" customHeight="1" s="24">
      <c r="A13" s="27" t="inlineStr">
        <is>
          <t>Ethical Pet Shop</t>
        </is>
      </c>
      <c r="B13" s="27" t="inlineStr">
        <is>
          <t>Ethical Pet Shop</t>
        </is>
      </c>
      <c r="C13" s="27" t="n">
        <v>3</v>
      </c>
      <c r="D13" s="27" t="n">
        <v>2</v>
      </c>
      <c r="E13" s="27" t="n">
        <v>1.2</v>
      </c>
      <c r="F13" s="27" t="inlineStr">
        <is>
          <t>Yes</t>
        </is>
      </c>
      <c r="G13" s="27">
        <f>ROUND(110*E13,0)</f>
        <v/>
      </c>
      <c r="H13" s="30" t="inlineStr">
        <is>
          <t>Two rings out. Pet route.</t>
        </is>
      </c>
    </row>
    <row r="14" ht="52.2" customHeight="1" s="24">
      <c r="A14" s="27" t="inlineStr">
        <is>
          <t>Luxury Apartments</t>
        </is>
      </c>
      <c r="B14" s="29" t="inlineStr">
        <is>
          <t>Heelton Heights (CONFIRM)</t>
        </is>
      </c>
      <c r="C14" s="27" t="n">
        <v>3</v>
      </c>
      <c r="D14" s="27" t="n">
        <v>2</v>
      </c>
      <c r="E14" s="27" t="n">
        <v>1</v>
      </c>
      <c r="F14" s="27" t="inlineStr">
        <is>
          <t>No</t>
        </is>
      </c>
      <c r="G14" s="27" t="inlineStr">
        <is>
          <t>—</t>
        </is>
      </c>
      <c r="H14" s="30" t="inlineStr">
        <is>
          <t>Premium home. No jobs. Work From Home uses the 0.85 convenience multiplier (see below). The playtest build calls this building Heelton Heights — confirm the mapping before shipping.</t>
        </is>
      </c>
    </row>
    <row r="15" ht="15" customHeight="1" s="24">
      <c r="A15" s="27" t="inlineStr">
        <is>
          <t>Park</t>
        </is>
      </c>
      <c r="B15" s="27" t="inlineStr">
        <is>
          <t>Park</t>
        </is>
      </c>
      <c r="C15" s="27" t="n">
        <v>3</v>
      </c>
      <c r="D15" s="27" t="n">
        <v>2</v>
      </c>
      <c r="E15" s="27" t="n">
        <v>1</v>
      </c>
      <c r="F15" s="27" t="inlineStr">
        <is>
          <t>No</t>
        </is>
      </c>
      <c r="G15" s="27" t="inlineStr">
        <is>
          <t>—</t>
        </is>
      </c>
      <c r="H15" s="30" t="inlineStr">
        <is>
          <t>Recovery / homeless fallback. No jobs.</t>
        </is>
      </c>
    </row>
    <row r="16" ht="26.85" customHeight="1" s="24">
      <c r="A16" s="27" t="inlineStr">
        <is>
          <t>Emotional Baggage Airport</t>
        </is>
      </c>
      <c r="B16" s="27" t="inlineStr">
        <is>
          <t>Emotional Baggage Airport</t>
        </is>
      </c>
      <c r="C16" s="27" t="n">
        <v>4</v>
      </c>
      <c r="D16" s="27" t="n">
        <v>3</v>
      </c>
      <c r="E16" s="27" t="n">
        <v>1.35</v>
      </c>
      <c r="F16" s="27" t="inlineStr">
        <is>
          <t>Yes</t>
        </is>
      </c>
      <c r="G16" s="27">
        <f>ROUND(110*E16,0)</f>
        <v/>
      </c>
      <c r="H16" s="30" t="inlineStr">
        <is>
          <t>Edge of the map. Highest wage multiplier in the game — worth the trip if you are already flying.</t>
        </is>
      </c>
    </row>
    <row r="17" ht="15" customHeight="1" s="24">
      <c r="A17" s="27" t="inlineStr">
        <is>
          <t>Re-Education Temple</t>
        </is>
      </c>
      <c r="B17" s="27" t="inlineStr">
        <is>
          <t>Re-Education Temple</t>
        </is>
      </c>
      <c r="C17" s="27" t="n">
        <v>4</v>
      </c>
      <c r="D17" s="27" t="n">
        <v>3</v>
      </c>
      <c r="E17" s="27" t="n">
        <v>1.35</v>
      </c>
      <c r="F17" s="27" t="inlineStr">
        <is>
          <t>Yes</t>
        </is>
      </c>
      <c r="G17" s="27">
        <f>ROUND(110*E17,0)</f>
        <v/>
      </c>
      <c r="H17" s="30" t="inlineStr">
        <is>
          <t>Edge of the map. Highest wage multiplier in the game.</t>
        </is>
      </c>
    </row>
    <row r="19" ht="30" customHeight="1" s="24">
      <c r="A19" s="26" t="inlineStr">
        <is>
          <t>RULES</t>
        </is>
      </c>
      <c r="B19" s="30" t="n"/>
    </row>
    <row r="20" ht="30" customHeight="1" s="24">
      <c r="A20" s="26" t="inlineStr">
        <is>
          <t>Money only</t>
        </is>
      </c>
      <c r="B20" s="30" t="inlineStr">
        <is>
          <t>The Money Multiplier applies ONLY to Money earned from a Work click (and Work From Home). It never touches Career gain, stat gains, card effects, or investment returns.</t>
        </is>
      </c>
    </row>
    <row r="21" ht="30" customHeight="1" s="24">
      <c r="A21" s="26" t="inlineStr">
        <is>
          <t>Work From Home</t>
        </is>
      </c>
      <c r="B21" s="30" t="inlineStr">
        <is>
          <t>Work From Home at either housing building uses a Money Multiplier of 0.85. Working in your pyjamas costs no travel, so it must pay less than going in. It still counts as a work click for tier progression and still uses your current job tier.</t>
        </is>
      </c>
    </row>
    <row r="22" ht="30" customHeight="1" s="24">
      <c r="A22" s="26" t="inlineStr">
        <is>
          <t>Travel is the cost</t>
        </is>
      </c>
      <c r="B22" s="30" t="inlineStr">
        <is>
          <t>Ring 3 and Ring 4 buildings must genuinely cost 2 and 3 Time Units to reach from the hub. If travel is free, the multiplier is a straight buff and the trade-off disappears.</t>
        </is>
      </c>
    </row>
    <row r="23" ht="30" customHeight="1" s="24">
      <c r="A23" s="26" t="inlineStr">
        <is>
          <t>Rounding</t>
        </is>
      </c>
      <c r="B23" s="30" t="inlineStr">
        <is>
          <t>Pay per click = ROUND(tier pay x multiplier, 0). At Short a Mid click is $110 at Corporate, $121 at Air One, $132 at the Gym, $149 at the Airport.</t>
        </is>
      </c>
    </row>
    <row r="24" ht="30" customHeight="1" s="24">
      <c r="A24" s="26" t="inlineStr">
        <is>
          <t>Scaling</t>
        </is>
      </c>
      <c r="B24" s="30" t="inlineStr">
        <is>
          <t>Multipliers do not change with game length. Tier pay already scales with B (Medium x2.5, Long x3.5).</t>
        </is>
      </c>
    </row>
    <row r="25" ht="30" customHeight="1" s="24">
      <c r="A25" s="26" t="inlineStr">
        <is>
          <t>Ring numbers are a starting point</t>
        </is>
      </c>
      <c r="B25" s="30" t="inlineStr">
        <is>
          <t>Ring assignments here describe the intended map layout, not measured coordinates. If the built map places a building differently, update this sheet to match the map rather than moving the building.</t>
        </is>
      </c>
    </row>
  </sheetData>
  <mergeCells count="8">
    <mergeCell ref="B22:H22"/>
    <mergeCell ref="B21:H21"/>
    <mergeCell ref="B24:H24"/>
    <mergeCell ref="B25:H25"/>
    <mergeCell ref="A1:H1"/>
    <mergeCell ref="B19:H19"/>
    <mergeCell ref="B20:H20"/>
    <mergeCell ref="B23:H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3" min="1" max="1"/>
    <col width="40" customWidth="1" style="23" min="2" max="4"/>
  </cols>
  <sheetData>
    <row r="1" ht="45" customHeight="1" s="24">
      <c r="A1" s="30" t="inlineStr">
        <is>
          <t>CPU DIFFICULTY (new in v6). Difficulty is chosen on the Game Setup screen and can be set per bot or globally for all bots. Default is Medium. Difficulty changes ONLY how bots behave and one explicitly-labelled bot-only gain multiplier. It never changes the rules, the prices, the card deck, or anything a human player experiences.</t>
        </is>
      </c>
    </row>
    <row r="3" ht="15" customHeight="1" s="24">
      <c r="A3" s="35" t="inlineStr">
        <is>
          <t>Behaviour</t>
        </is>
      </c>
      <c r="B3" s="35" t="inlineStr">
        <is>
          <t>Easy</t>
        </is>
      </c>
      <c r="C3" s="35" t="inlineStr">
        <is>
          <t>Medium</t>
        </is>
      </c>
      <c r="D3" s="35" t="inlineStr">
        <is>
          <t>Hard</t>
        </is>
      </c>
    </row>
    <row r="4" ht="30" customHeight="1" s="24">
      <c r="A4" s="36" t="inlineStr">
        <is>
          <t>Action choice</t>
        </is>
      </c>
      <c r="B4" s="30" t="inlineStr">
        <is>
          <t>Picks at random from the affordable actions in the building it is standing in.</t>
        </is>
      </c>
      <c r="C4" s="30" t="inlineStr">
        <is>
          <t>Scores every affordable action and picks randomly from the top 3.</t>
        </is>
      </c>
      <c r="D4" s="30" t="inlineStr">
        <is>
          <t>Scores every affordable action and always picks the best.</t>
        </is>
      </c>
    </row>
    <row r="5" ht="30" customHeight="1" s="24">
      <c r="A5" s="36" t="inlineStr">
        <is>
          <t>Planning horizon</t>
        </is>
      </c>
      <c r="B5" s="30" t="inlineStr">
        <is>
          <t>One action at a time. No saving up.</t>
        </is>
      </c>
      <c r="C5" s="30" t="inlineStr">
        <is>
          <t>Plans the current turn. Will save money across 2-3 turns for a named goal.</t>
        </is>
      </c>
      <c r="D5" s="30" t="inlineStr">
        <is>
          <t>Plans several turns ahead. Saves for education paths, job tiers, and housing deliberately.</t>
        </is>
      </c>
    </row>
    <row r="6" ht="30" customHeight="1" s="24">
      <c r="A6" s="36" t="inlineStr">
        <is>
          <t>Forgets to eat</t>
        </is>
      </c>
      <c r="B6" s="30" t="inlineStr">
        <is>
          <t>40% of turns</t>
        </is>
      </c>
      <c r="C6" s="30" t="inlineStr">
        <is>
          <t>15% of turns</t>
        </is>
      </c>
      <c r="D6" s="30" t="inlineStr">
        <is>
          <t>Never</t>
        </is>
      </c>
    </row>
    <row r="7" ht="30" customHeight="1" s="24">
      <c r="A7" s="36" t="inlineStr">
        <is>
          <t>Forgets to relax</t>
        </is>
      </c>
      <c r="B7" s="30" t="inlineStr">
        <is>
          <t>40% of stress checks</t>
        </is>
      </c>
      <c r="C7" s="30" t="inlineStr">
        <is>
          <t>15% of stress checks</t>
        </is>
      </c>
      <c r="D7" s="30" t="inlineStr">
        <is>
          <t>Never</t>
        </is>
      </c>
    </row>
    <row r="8" ht="30" customHeight="1" s="24">
      <c r="A8" s="36" t="inlineStr">
        <is>
          <t>Pays rent</t>
        </is>
      </c>
      <c r="B8" s="30" t="inlineStr">
        <is>
          <t>Only if it happens to be in the building on the due turn (often goes homeless).</t>
        </is>
      </c>
      <c r="C8" s="30" t="inlineStr">
        <is>
          <t>Pays on the due turn if it can afford it.</t>
        </is>
      </c>
      <c r="D8" s="30" t="inlineStr">
        <is>
          <t>Pre-pays and keeps a rent reserve; never goes homeless voluntarily.</t>
        </is>
      </c>
    </row>
    <row r="9" ht="30" customHeight="1" s="24">
      <c r="A9" s="36" t="inlineStr">
        <is>
          <t>Education</t>
        </is>
      </c>
      <c r="B9" s="30" t="inlineStr">
        <is>
          <t>Ignores High IQ University.</t>
        </is>
      </c>
      <c r="C9" s="30" t="inlineStr">
        <is>
          <t>Completes Path 1 and Path 2 if the game runs long enough.</t>
        </is>
      </c>
      <c r="D9" s="30" t="inlineStr">
        <is>
          <t>Treats education as a priority and pushes as far up the paths as the turn count allows.</t>
        </is>
      </c>
    </row>
    <row r="10" ht="30" customHeight="1" s="24">
      <c r="A10" s="36" t="inlineStr">
        <is>
          <t>Job tiers</t>
        </is>
      </c>
      <c r="B10" s="30" t="inlineStr">
        <is>
          <t>Takes whatever job it qualifies for by accident.</t>
        </is>
      </c>
      <c r="C10" s="30" t="inlineStr">
        <is>
          <t>Works toward the next tier once it is one gate away.</t>
        </is>
      </c>
      <c r="D10" s="30" t="inlineStr">
        <is>
          <t>Works the highest-paying eligible job and targets the next tier from turn 1.</t>
        </is>
      </c>
    </row>
    <row r="11" ht="30" customHeight="1" s="24">
      <c r="A11" s="36" t="inlineStr">
        <is>
          <t>Travel for wages</t>
        </is>
      </c>
      <c r="B11" s="30" t="inlineStr">
        <is>
          <t>Never travels for pay; works wherever it is.</t>
        </is>
      </c>
      <c r="C11" s="30" t="inlineStr">
        <is>
          <t>Uses a nearby building.</t>
        </is>
      </c>
      <c r="D11" s="30" t="inlineStr">
        <is>
          <t>Uses the Money Multiplier: travels to a far building when it plans 2+ work clicks.</t>
        </is>
      </c>
    </row>
    <row r="12" ht="30" customHeight="1" s="24">
      <c r="A12" s="36" t="inlineStr">
        <is>
          <t>Investments</t>
        </is>
      </c>
      <c r="B12" s="30" t="inlineStr">
        <is>
          <t>Does not invest.</t>
        </is>
      </c>
      <c r="C12" s="30" t="inlineStr">
        <is>
          <t>Buys Savings and Bonds only.</t>
        </is>
      </c>
      <c r="D12" s="30" t="inlineStr">
        <is>
          <t>Standing-aware: crypto when last, bonds and savings when leading, cashes out before taking the lead.</t>
        </is>
      </c>
    </row>
    <row r="13" ht="30" customHeight="1" s="24">
      <c r="A13" s="36" t="inlineStr">
        <is>
          <t>Mall shopping</t>
        </is>
      </c>
      <c r="B13" s="30" t="inlineStr">
        <is>
          <t>Buys impulsively, often unaffordable-adjacent junk.</t>
        </is>
      </c>
      <c r="C13" s="30" t="inlineStr">
        <is>
          <t>Buys job-required clothing and one or two home fixtures.</t>
        </is>
      </c>
      <c r="D13" s="30" t="inlineStr">
        <is>
          <t>Buys job-required clothing first, then the highest value-per-dollar fixtures.</t>
        </is>
      </c>
    </row>
    <row r="14" ht="30" customHeight="1" s="24">
      <c r="A14" s="36" t="inlineStr">
        <is>
          <t>Pet care</t>
        </is>
      </c>
      <c r="B14" s="30" t="inlineStr">
        <is>
          <t>Frequently misses feedings; may let the pet die.</t>
        </is>
      </c>
      <c r="C14" s="30" t="inlineStr">
        <is>
          <t>Feeds on the warning card.</t>
        </is>
      </c>
      <c r="D14" s="30" t="inlineStr">
        <is>
          <t>Never misses a feeding.</t>
        </is>
      </c>
    </row>
    <row r="15" ht="30" customHeight="1" s="24">
      <c r="A15" s="36" t="inlineStr">
        <is>
          <t>Bot-only gain multiplier</t>
        </is>
      </c>
      <c r="B15" s="30" t="inlineStr">
        <is>
          <t>0.85x</t>
        </is>
      </c>
      <c r="C15" s="30" t="inlineStr">
        <is>
          <t>1.00x</t>
        </is>
      </c>
      <c r="D15" s="30" t="inlineStr">
        <is>
          <t>1.10x</t>
        </is>
      </c>
    </row>
    <row r="17" ht="42" customHeight="1" s="24">
      <c r="A17" s="26" t="inlineStr">
        <is>
          <t>Bot-only multiplier scope</t>
        </is>
      </c>
      <c r="B17" s="30" t="inlineStr">
        <is>
          <t>The 0.85x / 1.00x / 1.10x multiplier applies to a BOT's stat and money gains from ACTIONS only. It is never applied to a human player, never to card effects, and never to investment returns. Show it in the debug panel so balance tests can be run with it switched off.</t>
        </is>
      </c>
    </row>
    <row r="18" ht="42" customHeight="1" s="24">
      <c r="A18" s="26" t="inlineStr">
        <is>
          <t>Per-bot or global</t>
        </is>
      </c>
      <c r="B18" s="30" t="inlineStr">
        <is>
          <t>Game Setup offers one difficulty control for all bots plus an expandable per-bot override, so a player can face one Hard bot and two Easy bots.</t>
        </is>
      </c>
    </row>
    <row r="19" ht="42" customHeight="1" s="24">
      <c r="A19" s="26" t="inlineStr">
        <is>
          <t>Skipping unchanged</t>
        </is>
      </c>
      <c r="B19" s="30" t="inlineStr">
        <is>
          <t>Skip CPU Turns works identically at every difficulty. A Hard bot must not take longer in real time.</t>
        </is>
      </c>
    </row>
    <row r="20" ht="42" customHeight="1" s="24">
      <c r="A20" s="26" t="inlineStr">
        <is>
          <t>Default</t>
        </is>
      </c>
      <c r="B20" s="30" t="inlineStr">
        <is>
          <t>Medium.</t>
        </is>
      </c>
    </row>
  </sheetData>
  <mergeCells count="5">
    <mergeCell ref="A1:D1"/>
    <mergeCell ref="B19:D19"/>
    <mergeCell ref="B17:D17"/>
    <mergeCell ref="B18:D18"/>
    <mergeCell ref="B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I1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3" min="1" max="2"/>
    <col width="28" customWidth="1" style="23" min="3" max="3"/>
    <col width="16" customWidth="1" style="23" min="4" max="29"/>
    <col width="20" customWidth="1" style="23" min="30" max="30"/>
    <col width="32" customWidth="1" style="23" min="31" max="31"/>
    <col width="14" customWidth="1" style="23" min="32" max="32"/>
    <col width="24" customWidth="1" style="23" min="33" max="33"/>
    <col width="14" customWidth="1" style="23" min="34" max="34"/>
    <col width="44" customWidth="1" style="23" min="35" max="35"/>
  </cols>
  <sheetData>
    <row r="1" ht="15" customHeight="1" s="24">
      <c r="A1" s="31" t="inlineStr">
        <is>
          <t>Action_ID</t>
        </is>
      </c>
      <c r="B1" s="31" t="inlineStr">
        <is>
          <t>Building</t>
        </is>
      </c>
      <c r="C1" s="31" t="inlineStr">
        <is>
          <t>Action</t>
        </is>
      </c>
      <c r="D1" s="31" t="inlineStr">
        <is>
          <t>Category</t>
        </is>
      </c>
      <c r="E1" s="31" t="inlineStr">
        <is>
          <t>Requirement / Condition</t>
        </is>
      </c>
      <c r="F1" s="31" t="inlineStr">
        <is>
          <t>Time Units</t>
        </is>
      </c>
      <c r="G1" s="31" t="inlineStr">
        <is>
          <t>Cost (xB) — 1.0 = 100% of B</t>
        </is>
      </c>
      <c r="H1" s="31" t="inlineStr">
        <is>
          <t>Cost Short</t>
        </is>
      </c>
      <c r="I1" s="31" t="inlineStr">
        <is>
          <t>Cost Medium</t>
        </is>
      </c>
      <c r="J1" s="31" t="inlineStr">
        <is>
          <t>Cost Long</t>
        </is>
      </c>
      <c r="K1" s="31" t="inlineStr">
        <is>
          <t>Gain Stat 1</t>
        </is>
      </c>
      <c r="L1" s="31" t="inlineStr">
        <is>
          <t>Gain (xB) 1 — 1.0 = 100% of B</t>
        </is>
      </c>
      <c r="M1" s="31" t="inlineStr">
        <is>
          <t>Gain Short</t>
        </is>
      </c>
      <c r="N1" s="31" t="inlineStr">
        <is>
          <t>Gain Medium</t>
        </is>
      </c>
      <c r="O1" s="31" t="inlineStr">
        <is>
          <t>Gain Long</t>
        </is>
      </c>
      <c r="P1" s="31" t="inlineStr">
        <is>
          <t>Gain Stat 2</t>
        </is>
      </c>
      <c r="Q1" s="31" t="inlineStr">
        <is>
          <t>Gain (xB) 2 — 1.0 = 100% of B</t>
        </is>
      </c>
      <c r="R1" s="31" t="inlineStr">
        <is>
          <t>Gain2 Short</t>
        </is>
      </c>
      <c r="S1" s="31" t="inlineStr">
        <is>
          <t>Gain2 Medium</t>
        </is>
      </c>
      <c r="T1" s="31" t="inlineStr">
        <is>
          <t>Gain2 Long</t>
        </is>
      </c>
      <c r="U1" s="31" t="inlineStr">
        <is>
          <t>Pet Gain</t>
        </is>
      </c>
      <c r="V1" s="31" t="inlineStr">
        <is>
          <t>Pet (xB)</t>
        </is>
      </c>
      <c r="W1" s="31" t="inlineStr">
        <is>
          <t>Penalty Stat 1</t>
        </is>
      </c>
      <c r="X1" s="31" t="inlineStr">
        <is>
          <t>Penalty (xB) 1</t>
        </is>
      </c>
      <c r="Y1" s="31" t="inlineStr">
        <is>
          <t>Penalty Stat 2</t>
        </is>
      </c>
      <c r="Z1" s="31" t="inlineStr">
        <is>
          <t>Penalty (xB) 2</t>
        </is>
      </c>
      <c r="AA1" s="31" t="inlineStr">
        <is>
          <t>Unlock / Effect</t>
        </is>
      </c>
      <c r="AB1" s="31" t="inlineStr">
        <is>
          <t>Balance Notes</t>
        </is>
      </c>
      <c r="AC1" s="31" t="inlineStr">
        <is>
          <t>MVP Priority</t>
        </is>
      </c>
      <c r="AD1" s="34" t="inlineStr">
        <is>
          <t>Counts As (v6)</t>
        </is>
      </c>
      <c r="AE1" s="34" t="inlineStr">
        <is>
          <t>Requires Item (v6)</t>
        </is>
      </c>
      <c r="AF1" s="34" t="inlineStr">
        <is>
          <t>Per-Turn Limit (v6)</t>
        </is>
      </c>
      <c r="AG1" s="34" t="inlineStr">
        <is>
          <t>Flat Bonus (v6)</t>
        </is>
      </c>
      <c r="AH1" s="34" t="inlineStr">
        <is>
          <t>Money Multiplier (v6)</t>
        </is>
      </c>
      <c r="AI1" s="34" t="inlineStr">
        <is>
          <t>v6 Change</t>
        </is>
      </c>
    </row>
    <row r="2" ht="15" customHeight="1" s="24">
      <c r="A2" s="23" t="inlineStr">
        <is>
          <t>A001</t>
        </is>
      </c>
      <c r="B2" s="23" t="inlineStr">
        <is>
          <t>Low Cost Housing</t>
        </is>
      </c>
      <c r="C2" s="23" t="inlineStr">
        <is>
          <t>Sleep in Bunk Bed</t>
        </is>
      </c>
      <c r="D2" s="23" t="inlineStr">
        <is>
          <t>Rest</t>
        </is>
      </c>
      <c r="E2" s="23" t="inlineStr">
        <is>
          <t>Must be housed here</t>
        </is>
      </c>
      <c r="F2" s="23" t="n">
        <v>2</v>
      </c>
      <c r="G2" s="23" t="n">
        <v>0</v>
      </c>
      <c r="H2" s="23">
        <f>ROUND($G2*Settings!$B$3,0)</f>
        <v/>
      </c>
      <c r="I2" s="23">
        <f>ROUND($G2*Settings!$B$4,0)</f>
        <v/>
      </c>
      <c r="J2" s="23">
        <f>ROUND($G2*Settings!$B$5,0)</f>
        <v/>
      </c>
      <c r="K2" s="23" t="inlineStr">
        <is>
          <t>Health</t>
        </is>
      </c>
      <c r="L2" s="23" t="n">
        <v>0.05</v>
      </c>
      <c r="M2" s="23">
        <f>ROUND($L2*Settings!$B$3,0)</f>
        <v/>
      </c>
      <c r="N2" s="23">
        <f>ROUND($L2*Settings!$B$4,0)</f>
        <v/>
      </c>
      <c r="O2" s="23">
        <f>ROUND($L2*Settings!$B$5,0)</f>
        <v/>
      </c>
      <c r="Q2" s="23" t="n">
        <v>0</v>
      </c>
      <c r="R2" s="23">
        <f>ROUND($Q2*Settings!$B$3,0)</f>
        <v/>
      </c>
      <c r="S2" s="23">
        <f>ROUND($Q2*Settings!$B$4,0)</f>
        <v/>
      </c>
      <c r="T2" s="23">
        <f>ROUND($Q2*Settings!$B$5,0)</f>
        <v/>
      </c>
      <c r="V2" s="23" t="n">
        <v>0</v>
      </c>
      <c r="Z2" s="23" t="n">
        <v>0</v>
      </c>
      <c r="AA2" s="23" t="inlineStr">
        <is>
          <t>Reduces stress; ends hunger penalty timer if food was eaten</t>
        </is>
      </c>
      <c r="AB2" s="23" t="inlineStr">
        <is>
          <t>Safe recovery, not a winning engine</t>
        </is>
      </c>
      <c r="AC2" s="23" t="inlineStr">
        <is>
          <t>MVP</t>
        </is>
      </c>
      <c r="AD2" s="23" t="inlineStr">
        <is>
          <t>Sleep + Relax</t>
        </is>
      </c>
    </row>
    <row r="3" ht="15" customHeight="1" s="24">
      <c r="A3" s="23" t="inlineStr">
        <is>
          <t>A002</t>
        </is>
      </c>
      <c r="B3" s="23" t="inlineStr">
        <is>
          <t>Low Cost Housing</t>
        </is>
      </c>
      <c r="C3" s="23" t="inlineStr">
        <is>
          <t>Relax in Your Room</t>
        </is>
      </c>
      <c r="D3" s="23" t="inlineStr">
        <is>
          <t>Relax</t>
        </is>
      </c>
      <c r="E3" s="23" t="inlineStr">
        <is>
          <t>Must be housed here</t>
        </is>
      </c>
      <c r="F3" s="23" t="n">
        <v>1</v>
      </c>
      <c r="G3" s="23" t="n">
        <v>0</v>
      </c>
      <c r="H3" s="23">
        <f>ROUND($G3*Settings!$B$3,0)</f>
        <v/>
      </c>
      <c r="I3" s="23">
        <f>ROUND($G3*Settings!$B$4,0)</f>
        <v/>
      </c>
      <c r="J3" s="23">
        <f>ROUND($G3*Settings!$B$5,0)</f>
        <v/>
      </c>
      <c r="K3" s="23" t="inlineStr">
        <is>
          <t>Happiness</t>
        </is>
      </c>
      <c r="L3" s="23" t="n">
        <v>0.04</v>
      </c>
      <c r="M3" s="23">
        <f>ROUND($L3*Settings!$B$3,0)</f>
        <v/>
      </c>
      <c r="N3" s="23">
        <f>ROUND($L3*Settings!$B$4,0)</f>
        <v/>
      </c>
      <c r="O3" s="23">
        <f>ROUND($L3*Settings!$B$5,0)</f>
        <v/>
      </c>
      <c r="Q3" s="23" t="n">
        <v>0</v>
      </c>
      <c r="R3" s="23">
        <f>ROUND($Q3*Settings!$B$3,0)</f>
        <v/>
      </c>
      <c r="S3" s="23">
        <f>ROUND($Q3*Settings!$B$4,0)</f>
        <v/>
      </c>
      <c r="T3" s="23">
        <f>ROUND($Q3*Settings!$B$5,0)</f>
        <v/>
      </c>
      <c r="V3" s="23" t="n">
        <v>0</v>
      </c>
      <c r="Z3" s="23" t="n">
        <v>0</v>
      </c>
      <c r="AA3" s="23" t="inlineStr">
        <is>
          <t>Counts as relaxing for 2-turn stress rule</t>
        </is>
      </c>
      <c r="AB3" s="23" t="inlineStr">
        <is>
          <t>Cheap stress management</t>
        </is>
      </c>
      <c r="AC3" s="23" t="inlineStr">
        <is>
          <t>MVP</t>
        </is>
      </c>
      <c r="AD3" s="23" t="inlineStr">
        <is>
          <t>Relax</t>
        </is>
      </c>
    </row>
    <row r="4" ht="15" customHeight="1" s="24">
      <c r="A4" s="23" t="inlineStr">
        <is>
          <t>A003</t>
        </is>
      </c>
      <c r="B4" s="23" t="inlineStr">
        <is>
          <t>Low Cost Housing</t>
        </is>
      </c>
      <c r="C4" s="23" t="inlineStr">
        <is>
          <t>Take Communal Shower</t>
        </is>
      </c>
      <c r="D4" s="23" t="inlineStr">
        <is>
          <t>Health</t>
        </is>
      </c>
      <c r="E4" s="23" t="inlineStr">
        <is>
          <t>Must be housed here</t>
        </is>
      </c>
      <c r="F4" s="23" t="n">
        <v>1</v>
      </c>
      <c r="G4" s="23" t="n">
        <v>0</v>
      </c>
      <c r="H4" s="23">
        <f>ROUND($G4*Settings!$B$3,0)</f>
        <v/>
      </c>
      <c r="I4" s="23">
        <f>ROUND($G4*Settings!$B$4,0)</f>
        <v/>
      </c>
      <c r="J4" s="23">
        <f>ROUND($G4*Settings!$B$5,0)</f>
        <v/>
      </c>
      <c r="K4" s="23" t="inlineStr">
        <is>
          <t>Health</t>
        </is>
      </c>
      <c r="L4" s="23" t="n">
        <v>0.025</v>
      </c>
      <c r="M4" s="23">
        <f>ROUND($L4*Settings!$B$3,0)</f>
        <v/>
      </c>
      <c r="N4" s="23">
        <f>ROUND($L4*Settings!$B$4,0)</f>
        <v/>
      </c>
      <c r="O4" s="23">
        <f>ROUND($L4*Settings!$B$5,0)</f>
        <v/>
      </c>
      <c r="Q4" s="23" t="n">
        <v>0</v>
      </c>
      <c r="R4" s="23">
        <f>ROUND($Q4*Settings!$B$3,0)</f>
        <v/>
      </c>
      <c r="S4" s="23">
        <f>ROUND($Q4*Settings!$B$4,0)</f>
        <v/>
      </c>
      <c r="T4" s="23">
        <f>ROUND($Q4*Settings!$B$5,0)</f>
        <v/>
      </c>
      <c r="V4" s="23" t="n">
        <v>0</v>
      </c>
      <c r="Z4" s="23" t="n">
        <v>0</v>
      </c>
      <c r="AB4" s="23" t="inlineStr">
        <is>
          <t>Small maintenance action</t>
        </is>
      </c>
      <c r="AC4" s="23" t="inlineStr">
        <is>
          <t>MVP</t>
        </is>
      </c>
    </row>
    <row r="5" ht="15" customHeight="1" s="24">
      <c r="A5" s="37" t="inlineStr">
        <is>
          <t>A004</t>
        </is>
      </c>
      <c r="B5" s="37" t="inlineStr">
        <is>
          <t>Low Cost Housing</t>
        </is>
      </c>
      <c r="C5" s="37" t="inlineStr">
        <is>
          <t>Exercise in Former Yard</t>
        </is>
      </c>
      <c r="D5" s="37" t="inlineStr">
        <is>
          <t>Health</t>
        </is>
      </c>
      <c r="E5" s="37" t="inlineStr">
        <is>
          <t>Must be housed here</t>
        </is>
      </c>
      <c r="F5" s="37" t="n">
        <v>1</v>
      </c>
      <c r="G5" s="37" t="n">
        <v>0</v>
      </c>
      <c r="H5" s="37">
        <f>ROUND($G5*Settings!$B$3,0)</f>
        <v/>
      </c>
      <c r="I5" s="37">
        <f>ROUND($G5*Settings!$B$4,0)</f>
        <v/>
      </c>
      <c r="J5" s="37">
        <f>ROUND($G5*Settings!$B$5,0)</f>
        <v/>
      </c>
      <c r="K5" s="37" t="inlineStr">
        <is>
          <t>Health</t>
        </is>
      </c>
      <c r="L5" s="37" t="n">
        <v>0.025</v>
      </c>
      <c r="M5" s="37">
        <f>ROUND($L5*Settings!$B$3,0)</f>
        <v/>
      </c>
      <c r="N5" s="37">
        <f>ROUND($L5*Settings!$B$4,0)</f>
        <v/>
      </c>
      <c r="O5" s="37">
        <f>ROUND($L5*Settings!$B$5,0)</f>
        <v/>
      </c>
      <c r="P5" s="37" t="n"/>
      <c r="Q5" s="37" t="n">
        <v>0</v>
      </c>
      <c r="R5" s="37">
        <f>ROUND($Q5*Settings!$B$3,0)</f>
        <v/>
      </c>
      <c r="S5" s="37">
        <f>ROUND($Q5*Settings!$B$4,0)</f>
        <v/>
      </c>
      <c r="T5" s="37">
        <f>ROUND($Q5*Settings!$B$5,0)</f>
        <v/>
      </c>
      <c r="U5" s="37" t="n"/>
      <c r="V5" s="37" t="n">
        <v>0</v>
      </c>
      <c r="W5" s="37" t="inlineStr">
        <is>
          <t>Happiness</t>
        </is>
      </c>
      <c r="X5" s="37" t="n">
        <v>0.01</v>
      </c>
      <c r="Y5" s="37" t="n"/>
      <c r="Z5" s="37" t="n">
        <v>0</v>
      </c>
      <c r="AA5" s="37" t="n"/>
      <c r="AB5" s="37" t="inlineStr">
        <is>
          <t>v6: Health cut from 4%B to 2.5%B and limited to 2 per turn. Free, zero-travel exercise was out-earning the gym.</t>
        </is>
      </c>
      <c r="AC5" s="37" t="inlineStr">
        <is>
          <t>MVP</t>
        </is>
      </c>
      <c r="AD5" s="37" t="n"/>
      <c r="AE5" s="37" t="n"/>
      <c r="AF5" s="37" t="inlineStr">
        <is>
          <t>2 per turn</t>
        </is>
      </c>
      <c r="AG5" s="37" t="n"/>
      <c r="AH5" s="37" t="n"/>
      <c r="AI5" s="37" t="inlineStr">
        <is>
          <t>Health 0.04 -&gt; 0.025; max 2 per turn</t>
        </is>
      </c>
    </row>
    <row r="6" ht="15" customHeight="1" s="24">
      <c r="A6" s="23" t="inlineStr">
        <is>
          <t>A005</t>
        </is>
      </c>
      <c r="B6" s="23" t="inlineStr">
        <is>
          <t>Low Cost Housing</t>
        </is>
      </c>
      <c r="C6" s="23" t="inlineStr">
        <is>
          <t>Decorate Your Cell</t>
        </is>
      </c>
      <c r="D6" s="23" t="inlineStr">
        <is>
          <t>Home</t>
        </is>
      </c>
      <c r="E6" s="23" t="inlineStr">
        <is>
          <t>Furniture owned</t>
        </is>
      </c>
      <c r="F6" s="23" t="n">
        <v>1</v>
      </c>
      <c r="G6" s="23" t="n">
        <v>0</v>
      </c>
      <c r="H6" s="23">
        <f>ROUND($G6*Settings!$B$3,0)</f>
        <v/>
      </c>
      <c r="I6" s="23">
        <f>ROUND($G6*Settings!$B$4,0)</f>
        <v/>
      </c>
      <c r="J6" s="23">
        <f>ROUND($G6*Settings!$B$5,0)</f>
        <v/>
      </c>
      <c r="K6" s="23" t="inlineStr">
        <is>
          <t>Happiness</t>
        </is>
      </c>
      <c r="L6" s="23" t="n">
        <v>0.05</v>
      </c>
      <c r="M6" s="23">
        <f>ROUND($L6*Settings!$B$3,0)</f>
        <v/>
      </c>
      <c r="N6" s="23">
        <f>ROUND($L6*Settings!$B$4,0)</f>
        <v/>
      </c>
      <c r="O6" s="23">
        <f>ROUND($L6*Settings!$B$5,0)</f>
        <v/>
      </c>
      <c r="Q6" s="23" t="n">
        <v>0</v>
      </c>
      <c r="R6" s="23">
        <f>ROUND($Q6*Settings!$B$3,0)</f>
        <v/>
      </c>
      <c r="S6" s="23">
        <f>ROUND($Q6*Settings!$B$4,0)</f>
        <v/>
      </c>
      <c r="T6" s="23">
        <f>ROUND($Q6*Settings!$B$5,0)</f>
        <v/>
      </c>
      <c r="V6" s="23" t="n">
        <v>0</v>
      </c>
      <c r="Z6" s="23" t="n">
        <v>0</v>
      </c>
      <c r="AA6" s="23" t="inlineStr">
        <is>
          <t>Uses owned furniture bonus</t>
        </is>
      </c>
      <c r="AB6" s="23" t="inlineStr">
        <is>
          <t>Requires prior Mall spending</t>
        </is>
      </c>
      <c r="AC6" s="23" t="inlineStr">
        <is>
          <t>MVP</t>
        </is>
      </c>
    </row>
    <row r="7" ht="15" customHeight="1" s="24">
      <c r="A7" s="23" t="inlineStr">
        <is>
          <t>A006</t>
        </is>
      </c>
      <c r="B7" s="23" t="inlineStr">
        <is>
          <t>Low Cost Housing</t>
        </is>
      </c>
      <c r="C7" s="23" t="inlineStr">
        <is>
          <t>Hang With Pet</t>
        </is>
      </c>
      <c r="D7" s="23" t="inlineStr">
        <is>
          <t>Pet</t>
        </is>
      </c>
      <c r="E7" s="23" t="inlineStr">
        <is>
          <t>Own a pet</t>
        </is>
      </c>
      <c r="F7" s="23" t="n">
        <v>1</v>
      </c>
      <c r="G7" s="23" t="n">
        <v>0</v>
      </c>
      <c r="H7" s="23">
        <f>ROUND($G7*Settings!$B$3,0)</f>
        <v/>
      </c>
      <c r="I7" s="23">
        <f>ROUND($G7*Settings!$B$4,0)</f>
        <v/>
      </c>
      <c r="J7" s="23">
        <f>ROUND($G7*Settings!$B$5,0)</f>
        <v/>
      </c>
      <c r="K7" s="23" t="inlineStr">
        <is>
          <t>Connection</t>
        </is>
      </c>
      <c r="L7" s="23" t="n">
        <v>0.025</v>
      </c>
      <c r="M7" s="23">
        <f>ROUND($L7*Settings!$B$3,0)</f>
        <v/>
      </c>
      <c r="N7" s="23">
        <f>ROUND($L7*Settings!$B$4,0)</f>
        <v/>
      </c>
      <c r="O7" s="23">
        <f>ROUND($L7*Settings!$B$5,0)</f>
        <v/>
      </c>
      <c r="Q7" s="23" t="n">
        <v>0</v>
      </c>
      <c r="R7" s="23">
        <f>ROUND($Q7*Settings!$B$3,0)</f>
        <v/>
      </c>
      <c r="S7" s="23">
        <f>ROUND($Q7*Settings!$B$4,0)</f>
        <v/>
      </c>
      <c r="T7" s="23">
        <f>ROUND($Q7*Settings!$B$5,0)</f>
        <v/>
      </c>
      <c r="U7" s="23" t="inlineStr">
        <is>
          <t>Pet Happiness</t>
        </is>
      </c>
      <c r="V7" s="23" t="n">
        <v>0.05</v>
      </c>
      <c r="Z7" s="23" t="n">
        <v>0</v>
      </c>
      <c r="AB7" s="23" t="inlineStr">
        <is>
          <t>Pet route support</t>
        </is>
      </c>
      <c r="AC7" s="23" t="inlineStr">
        <is>
          <t>MVP</t>
        </is>
      </c>
    </row>
    <row r="8" ht="15" customHeight="1" s="24">
      <c r="A8" s="23" t="inlineStr">
        <is>
          <t>A007</t>
        </is>
      </c>
      <c r="B8" s="23" t="inlineStr">
        <is>
          <t>Low Cost Housing</t>
        </is>
      </c>
      <c r="C8" s="23" t="inlineStr">
        <is>
          <t>Feed Pet</t>
        </is>
      </c>
      <c r="D8" s="23" t="inlineStr">
        <is>
          <t>Pet</t>
        </is>
      </c>
      <c r="E8" s="23" t="inlineStr">
        <is>
          <t>Own pet + pet food</t>
        </is>
      </c>
      <c r="F8" s="23" t="n">
        <v>1</v>
      </c>
      <c r="G8" s="23" t="n">
        <v>0</v>
      </c>
      <c r="H8" s="23">
        <f>ROUND($G8*Settings!$B$3,0)</f>
        <v/>
      </c>
      <c r="I8" s="23">
        <f>ROUND($G8*Settings!$B$4,0)</f>
        <v/>
      </c>
      <c r="J8" s="23">
        <f>ROUND($G8*Settings!$B$5,0)</f>
        <v/>
      </c>
      <c r="L8" s="23" t="n">
        <v>0</v>
      </c>
      <c r="M8" s="23">
        <f>ROUND($L8*Settings!$B$3,0)</f>
        <v/>
      </c>
      <c r="N8" s="23">
        <f>ROUND($L8*Settings!$B$4,0)</f>
        <v/>
      </c>
      <c r="O8" s="23">
        <f>ROUND($L8*Settings!$B$5,0)</f>
        <v/>
      </c>
      <c r="Q8" s="23" t="n">
        <v>0</v>
      </c>
      <c r="R8" s="23">
        <f>ROUND($Q8*Settings!$B$3,0)</f>
        <v/>
      </c>
      <c r="S8" s="23">
        <f>ROUND($Q8*Settings!$B$4,0)</f>
        <v/>
      </c>
      <c r="T8" s="23">
        <f>ROUND($Q8*Settings!$B$5,0)</f>
        <v/>
      </c>
      <c r="U8" s="23" t="inlineStr">
        <is>
          <t>Pet Health</t>
        </is>
      </c>
      <c r="V8" s="23" t="n">
        <v>0.08</v>
      </c>
      <c r="Z8" s="23" t="n">
        <v>0</v>
      </c>
      <c r="AA8" s="23" t="inlineStr">
        <is>
          <t>Prevents pet warning/death spiral</t>
        </is>
      </c>
      <c r="AB8" s="23" t="inlineStr">
        <is>
          <t>Pet maintenance</t>
        </is>
      </c>
      <c r="AC8" s="23" t="inlineStr">
        <is>
          <t>MVP</t>
        </is>
      </c>
    </row>
    <row r="9" ht="15" customHeight="1" s="24">
      <c r="A9" s="37" t="inlineStr">
        <is>
          <t>A008</t>
        </is>
      </c>
      <c r="B9" s="37" t="inlineStr">
        <is>
          <t>Low Cost Housing</t>
        </is>
      </c>
      <c r="C9" s="37" t="inlineStr">
        <is>
          <t>Pay Low-Cost Rent</t>
        </is>
      </c>
      <c r="D9" s="37" t="inlineStr">
        <is>
          <t>Rent</t>
        </is>
      </c>
      <c r="E9" s="37" t="inlineStr">
        <is>
          <t>Always available while housed here</t>
        </is>
      </c>
      <c r="F9" s="37" t="n">
        <v>0</v>
      </c>
      <c r="G9" s="37" t="n">
        <v>1</v>
      </c>
      <c r="H9" s="37">
        <f>ROUND($G9*Settings!$B$3,0)</f>
        <v/>
      </c>
      <c r="I9" s="37">
        <f>ROUND($G9*Settings!$B$4,0)</f>
        <v/>
      </c>
      <c r="J9" s="37">
        <f>ROUND($G9*Settings!$B$5,0)</f>
        <v/>
      </c>
      <c r="K9" s="37" t="n"/>
      <c r="L9" s="37" t="n">
        <v>0</v>
      </c>
      <c r="M9" s="37">
        <f>ROUND($L9*Settings!$B$3,0)</f>
        <v/>
      </c>
      <c r="N9" s="37">
        <f>ROUND($L9*Settings!$B$4,0)</f>
        <v/>
      </c>
      <c r="O9" s="37">
        <f>ROUND($L9*Settings!$B$5,0)</f>
        <v/>
      </c>
      <c r="P9" s="37" t="n"/>
      <c r="Q9" s="37" t="n">
        <v>0</v>
      </c>
      <c r="R9" s="37">
        <f>ROUND($Q9*Settings!$B$3,0)</f>
        <v/>
      </c>
      <c r="S9" s="37">
        <f>ROUND($Q9*Settings!$B$4,0)</f>
        <v/>
      </c>
      <c r="T9" s="37">
        <f>ROUND($Q9*Settings!$B$5,0)</f>
        <v/>
      </c>
      <c r="U9" s="37" t="n"/>
      <c r="V9" s="37" t="n">
        <v>0</v>
      </c>
      <c r="W9" s="37" t="n"/>
      <c r="X9" s="37" t="n"/>
      <c r="Y9" s="37" t="n"/>
      <c r="Z9" s="37" t="n">
        <v>0</v>
      </c>
      <c r="AA9" s="37" t="inlineStr">
        <is>
          <t>PAY RENT. This action is ALWAYS listed in the housing menu and is never hidden, never filtered out, and never costs Time Units. It has four display states: RENT DUE (shows the amount, highlighted), PAID (shows the turn the next payment falls due), NOT YET DUE (shows turns remaining; the player may pre-pay the next cycle), and CANNOT AFFORD (greyed, shows the exact shortfall). On success: deduct the money, play PP-Money.mp3, write a log line, and set the next due turn to the current turn + the Rent Interval. If rent is still unpaid when the rent-due turn ends, the player becomes homeless.</t>
        </is>
      </c>
      <c r="AB9" s="37" t="inlineStr">
        <is>
          <t>v6 BUG FIX. Cost is a MULTIPLE of B, not a percent: 1 = $100 low rent, 4 = $400 luxury rent at the Short baseline. Reading these as 1% and 4% of B charges $1 and $4 and breaks the economy. A menu row that does nothing when clicked is the reported playtest bug.</t>
        </is>
      </c>
      <c r="AC9" s="37" t="inlineStr">
        <is>
          <t>MVP</t>
        </is>
      </c>
      <c r="AD9" s="37" t="n"/>
      <c r="AE9" s="37" t="n"/>
      <c r="AF9" s="37" t="n"/>
      <c r="AG9" s="37" t="n"/>
      <c r="AH9" s="37" t="n"/>
      <c r="AI9" s="37" t="inlineStr">
        <is>
          <t>Pay Rent rebuilt: always visible, four states, explicit handler</t>
        </is>
      </c>
    </row>
    <row r="10" ht="15" customHeight="1" s="24">
      <c r="A10" s="37" t="inlineStr">
        <is>
          <t>A009</t>
        </is>
      </c>
      <c r="B10" s="37" t="inlineStr">
        <is>
          <t>Luxury Apartments</t>
        </is>
      </c>
      <c r="C10" s="37" t="inlineStr">
        <is>
          <t>Sleep in Fancy Bed</t>
        </is>
      </c>
      <c r="D10" s="37" t="inlineStr">
        <is>
          <t>Rest</t>
        </is>
      </c>
      <c r="E10" s="37" t="inlineStr">
        <is>
          <t>Luxury apartment + any bed owned</t>
        </is>
      </c>
      <c r="F10" s="37" t="n">
        <v>2</v>
      </c>
      <c r="G10" s="37" t="n">
        <v>0</v>
      </c>
      <c r="H10" s="37">
        <f>ROUND($G10*Settings!$B$3,0)</f>
        <v/>
      </c>
      <c r="I10" s="37">
        <f>ROUND($G10*Settings!$B$4,0)</f>
        <v/>
      </c>
      <c r="J10" s="37">
        <f>ROUND($G10*Settings!$B$5,0)</f>
        <v/>
      </c>
      <c r="K10" s="37" t="inlineStr">
        <is>
          <t>Health</t>
        </is>
      </c>
      <c r="L10" s="37" t="n">
        <v>0.08</v>
      </c>
      <c r="M10" s="37">
        <f>ROUND($L10*Settings!$B$3,0)</f>
        <v/>
      </c>
      <c r="N10" s="37">
        <f>ROUND($L10*Settings!$B$4,0)</f>
        <v/>
      </c>
      <c r="O10" s="37">
        <f>ROUND($L10*Settings!$B$5,0)</f>
        <v/>
      </c>
      <c r="P10" s="37" t="n"/>
      <c r="Q10" s="37" t="n">
        <v>0</v>
      </c>
      <c r="R10" s="37">
        <f>ROUND($Q10*Settings!$B$3,0)</f>
        <v/>
      </c>
      <c r="S10" s="37">
        <f>ROUND($Q10*Settings!$B$4,0)</f>
        <v/>
      </c>
      <c r="T10" s="37">
        <f>ROUND($Q10*Settings!$B$5,0)</f>
        <v/>
      </c>
      <c r="U10" s="37" t="n"/>
      <c r="V10" s="37" t="n">
        <v>0</v>
      </c>
      <c r="W10" s="37" t="n"/>
      <c r="X10" s="37" t="n"/>
      <c r="Y10" s="37" t="n"/>
      <c r="Z10" s="37" t="n">
        <v>0</v>
      </c>
      <c r="AA10" s="37" t="inlineStr">
        <is>
          <t>Reduces stress strongly</t>
        </is>
      </c>
      <c r="AB10" s="37" t="inlineStr">
        <is>
          <t>Premium housing advantage</t>
        </is>
      </c>
      <c r="AC10" s="37" t="inlineStr">
        <is>
          <t>MVP</t>
        </is>
      </c>
      <c r="AD10" s="37" t="inlineStr">
        <is>
          <t>Sleep + Relax</t>
        </is>
      </c>
      <c r="AE10" s="37" t="inlineStr">
        <is>
          <t>Any bed owned (Lumpy, Nice or Premium)</t>
        </is>
      </c>
      <c r="AF10" s="37" t="n"/>
      <c r="AG10" s="37" t="n"/>
      <c r="AH10" s="37" t="n"/>
      <c r="AI10" s="37" t="inlineStr">
        <is>
          <t>Now requires a bed purchase</t>
        </is>
      </c>
    </row>
    <row r="11" ht="15" customHeight="1" s="24">
      <c r="A11" s="37" t="inlineStr">
        <is>
          <t>A010</t>
        </is>
      </c>
      <c r="B11" s="37" t="inlineStr">
        <is>
          <t>Luxury Apartments</t>
        </is>
      </c>
      <c r="C11" s="37" t="inlineStr">
        <is>
          <t>Take Luxury Bath</t>
        </is>
      </c>
      <c r="D11" s="37" t="inlineStr">
        <is>
          <t>Relax</t>
        </is>
      </c>
      <c r="E11" s="37" t="inlineStr">
        <is>
          <t>Luxury apartment + Hot Tub owned</t>
        </is>
      </c>
      <c r="F11" s="37" t="n">
        <v>1</v>
      </c>
      <c r="G11" s="37" t="n">
        <v>0.2</v>
      </c>
      <c r="H11" s="37">
        <f>ROUND($G11*Settings!$B$3,0)</f>
        <v/>
      </c>
      <c r="I11" s="37">
        <f>ROUND($G11*Settings!$B$4,0)</f>
        <v/>
      </c>
      <c r="J11" s="37">
        <f>ROUND($G11*Settings!$B$5,0)</f>
        <v/>
      </c>
      <c r="K11" s="37" t="inlineStr">
        <is>
          <t>Health</t>
        </is>
      </c>
      <c r="L11" s="37" t="n">
        <v>0.04</v>
      </c>
      <c r="M11" s="37">
        <f>ROUND($L11*Settings!$B$3,0)</f>
        <v/>
      </c>
      <c r="N11" s="37">
        <f>ROUND($L11*Settings!$B$4,0)</f>
        <v/>
      </c>
      <c r="O11" s="37">
        <f>ROUND($L11*Settings!$B$5,0)</f>
        <v/>
      </c>
      <c r="P11" s="37" t="inlineStr">
        <is>
          <t>Happiness</t>
        </is>
      </c>
      <c r="Q11" s="37" t="n">
        <v>0.04</v>
      </c>
      <c r="R11" s="37">
        <f>ROUND($Q11*Settings!$B$3,0)</f>
        <v/>
      </c>
      <c r="S11" s="37">
        <f>ROUND($Q11*Settings!$B$4,0)</f>
        <v/>
      </c>
      <c r="T11" s="37">
        <f>ROUND($Q11*Settings!$B$5,0)</f>
        <v/>
      </c>
      <c r="U11" s="37" t="n"/>
      <c r="V11" s="37" t="n">
        <v>0</v>
      </c>
      <c r="W11" s="37" t="n"/>
      <c r="X11" s="37" t="n"/>
      <c r="Y11" s="37" t="n"/>
      <c r="Z11" s="37" t="n">
        <v>0</v>
      </c>
      <c r="AA11" s="37" t="inlineStr">
        <is>
          <t>Counts as relaxing</t>
        </is>
      </c>
      <c r="AB11" s="37" t="inlineStr">
        <is>
          <t>Small paid luxury action | v6.1: restored the v5.1 price that matches the painted menu ($20).</t>
        </is>
      </c>
      <c r="AC11" s="37" t="inlineStr">
        <is>
          <t>MVP</t>
        </is>
      </c>
      <c r="AD11" s="37" t="inlineStr">
        <is>
          <t>Relax</t>
        </is>
      </c>
      <c r="AE11" s="37" t="inlineStr">
        <is>
          <t>Hot Tub</t>
        </is>
      </c>
      <c r="AF11" s="37" t="n"/>
      <c r="AG11" s="37" t="n"/>
      <c r="AH11" s="37" t="n"/>
      <c r="AI11" s="37" t="inlineStr">
        <is>
          <t>Now requires a Hot Tub purchase</t>
        </is>
      </c>
    </row>
    <row r="12" ht="15" customHeight="1" s="24">
      <c r="A12" s="37" t="inlineStr">
        <is>
          <t>A011</t>
        </is>
      </c>
      <c r="B12" s="37" t="inlineStr">
        <is>
          <t>Luxury Apartments</t>
        </is>
      </c>
      <c r="C12" s="37" t="inlineStr">
        <is>
          <t>Relax in Your Suite</t>
        </is>
      </c>
      <c r="D12" s="37" t="inlineStr">
        <is>
          <t>Relax</t>
        </is>
      </c>
      <c r="E12" s="37" t="inlineStr">
        <is>
          <t>Luxury apartment + Couch owned</t>
        </is>
      </c>
      <c r="F12" s="37" t="n">
        <v>1</v>
      </c>
      <c r="G12" s="37" t="n">
        <v>0</v>
      </c>
      <c r="H12" s="37">
        <f>ROUND($G12*Settings!$B$3,0)</f>
        <v/>
      </c>
      <c r="I12" s="37">
        <f>ROUND($G12*Settings!$B$4,0)</f>
        <v/>
      </c>
      <c r="J12" s="37">
        <f>ROUND($G12*Settings!$B$5,0)</f>
        <v/>
      </c>
      <c r="K12" s="37" t="inlineStr">
        <is>
          <t>Happiness</t>
        </is>
      </c>
      <c r="L12" s="37" t="n">
        <v>0.08</v>
      </c>
      <c r="M12" s="37">
        <f>ROUND($L12*Settings!$B$3,0)</f>
        <v/>
      </c>
      <c r="N12" s="37">
        <f>ROUND($L12*Settings!$B$4,0)</f>
        <v/>
      </c>
      <c r="O12" s="37">
        <f>ROUND($L12*Settings!$B$5,0)</f>
        <v/>
      </c>
      <c r="P12" s="37" t="n"/>
      <c r="Q12" s="37" t="n">
        <v>0</v>
      </c>
      <c r="R12" s="37">
        <f>ROUND($Q12*Settings!$B$3,0)</f>
        <v/>
      </c>
      <c r="S12" s="37">
        <f>ROUND($Q12*Settings!$B$4,0)</f>
        <v/>
      </c>
      <c r="T12" s="37">
        <f>ROUND($Q12*Settings!$B$5,0)</f>
        <v/>
      </c>
      <c r="U12" s="37" t="n"/>
      <c r="V12" s="37" t="n">
        <v>0</v>
      </c>
      <c r="W12" s="37" t="n"/>
      <c r="X12" s="37" t="n"/>
      <c r="Y12" s="37" t="n"/>
      <c r="Z12" s="37" t="n">
        <v>0</v>
      </c>
      <c r="AA12" s="37" t="inlineStr">
        <is>
          <t>Counts as relaxing</t>
        </is>
      </c>
      <c r="AB12" s="37" t="inlineStr">
        <is>
          <t>Strong happiness route</t>
        </is>
      </c>
      <c r="AC12" s="37" t="inlineStr">
        <is>
          <t>MVP</t>
        </is>
      </c>
      <c r="AD12" s="37" t="inlineStr">
        <is>
          <t>Relax</t>
        </is>
      </c>
      <c r="AE12" s="37" t="inlineStr">
        <is>
          <t>Any couch owned</t>
        </is>
      </c>
      <c r="AF12" s="37" t="n"/>
      <c r="AG12" s="37" t="n"/>
      <c r="AH12" s="37" t="n"/>
      <c r="AI12" s="37" t="inlineStr">
        <is>
          <t>Now requires a Couch purchase</t>
        </is>
      </c>
    </row>
    <row r="13" ht="15" customHeight="1" s="24">
      <c r="A13" s="37" t="inlineStr">
        <is>
          <t>A012</t>
        </is>
      </c>
      <c r="B13" s="37" t="inlineStr">
        <is>
          <t>Luxury Apartments</t>
        </is>
      </c>
      <c r="C13" s="37" t="inlineStr">
        <is>
          <t>Exercise in Condo Gym</t>
        </is>
      </c>
      <c r="D13" s="37" t="inlineStr">
        <is>
          <t>Health</t>
        </is>
      </c>
      <c r="E13" s="37" t="inlineStr">
        <is>
          <t>Luxury apartment</t>
        </is>
      </c>
      <c r="F13" s="37" t="n">
        <v>1</v>
      </c>
      <c r="G13" s="37" t="n">
        <v>0</v>
      </c>
      <c r="H13" s="37">
        <f>ROUND($G13*Settings!$B$3,0)</f>
        <v/>
      </c>
      <c r="I13" s="37">
        <f>ROUND($G13*Settings!$B$4,0)</f>
        <v/>
      </c>
      <c r="J13" s="37">
        <f>ROUND($G13*Settings!$B$5,0)</f>
        <v/>
      </c>
      <c r="K13" s="37" t="inlineStr">
        <is>
          <t>Health</t>
        </is>
      </c>
      <c r="L13" s="37" t="n">
        <v>0.03</v>
      </c>
      <c r="M13" s="37">
        <f>ROUND($L13*Settings!$B$3,0)</f>
        <v/>
      </c>
      <c r="N13" s="37">
        <f>ROUND($L13*Settings!$B$4,0)</f>
        <v/>
      </c>
      <c r="O13" s="37">
        <f>ROUND($L13*Settings!$B$5,0)</f>
        <v/>
      </c>
      <c r="P13" s="37" t="n"/>
      <c r="Q13" s="37" t="n">
        <v>0</v>
      </c>
      <c r="R13" s="37">
        <f>ROUND($Q13*Settings!$B$3,0)</f>
        <v/>
      </c>
      <c r="S13" s="37">
        <f>ROUND($Q13*Settings!$B$4,0)</f>
        <v/>
      </c>
      <c r="T13" s="37">
        <f>ROUND($Q13*Settings!$B$5,0)</f>
        <v/>
      </c>
      <c r="U13" s="37" t="n"/>
      <c r="V13" s="37" t="n">
        <v>0</v>
      </c>
      <c r="W13" s="37" t="n"/>
      <c r="X13" s="37" t="n"/>
      <c r="Y13" s="37" t="n"/>
      <c r="Z13" s="37" t="n">
        <v>0</v>
      </c>
      <c r="AA13" s="37" t="n"/>
      <c r="AB13" s="37" t="inlineStr">
        <is>
          <t>v6: Health cut from 6%B to 3%B and limited to 2 per turn. This was the best Health-per-Time-Unit action in the game, it was free, and it cost no travel.</t>
        </is>
      </c>
      <c r="AC13" s="37" t="inlineStr">
        <is>
          <t>MVP</t>
        </is>
      </c>
      <c r="AD13" s="37" t="n"/>
      <c r="AE13" s="37" t="n"/>
      <c r="AF13" s="37" t="inlineStr">
        <is>
          <t>2 per turn</t>
        </is>
      </c>
      <c r="AG13" s="37" t="n"/>
      <c r="AH13" s="37" t="n"/>
      <c r="AI13" s="37" t="inlineStr">
        <is>
          <t>Health 0.06 -&gt; 0.03; max 2 per turn</t>
        </is>
      </c>
    </row>
    <row r="14" ht="15" customHeight="1" s="24">
      <c r="A14" s="37" t="inlineStr">
        <is>
          <t>A013</t>
        </is>
      </c>
      <c r="B14" s="37" t="inlineStr">
        <is>
          <t>Luxury Apartments</t>
        </is>
      </c>
      <c r="C14" s="37" t="inlineStr">
        <is>
          <t>Order Fancy Food</t>
        </is>
      </c>
      <c r="D14" s="37" t="inlineStr">
        <is>
          <t>Food</t>
        </is>
      </c>
      <c r="E14" s="37" t="inlineStr">
        <is>
          <t>Luxury apartment</t>
        </is>
      </c>
      <c r="F14" s="37" t="n">
        <v>1</v>
      </c>
      <c r="G14" s="37" t="n">
        <v>0.8</v>
      </c>
      <c r="H14" s="37">
        <f>ROUND($G14*Settings!$B$3,0)</f>
        <v/>
      </c>
      <c r="I14" s="37">
        <f>ROUND($G14*Settings!$B$4,0)</f>
        <v/>
      </c>
      <c r="J14" s="37">
        <f>ROUND($G14*Settings!$B$5,0)</f>
        <v/>
      </c>
      <c r="K14" s="37" t="inlineStr">
        <is>
          <t>Happiness</t>
        </is>
      </c>
      <c r="L14" s="37" t="n">
        <v>0.06</v>
      </c>
      <c r="M14" s="37">
        <f>ROUND($L14*Settings!$B$3,0)</f>
        <v/>
      </c>
      <c r="N14" s="37">
        <f>ROUND($L14*Settings!$B$4,0)</f>
        <v/>
      </c>
      <c r="O14" s="37">
        <f>ROUND($L14*Settings!$B$5,0)</f>
        <v/>
      </c>
      <c r="P14" s="37" t="n"/>
      <c r="Q14" s="37" t="n">
        <v>0</v>
      </c>
      <c r="R14" s="37">
        <f>ROUND($Q14*Settings!$B$3,0)</f>
        <v/>
      </c>
      <c r="S14" s="37">
        <f>ROUND($Q14*Settings!$B$4,0)</f>
        <v/>
      </c>
      <c r="T14" s="37">
        <f>ROUND($Q14*Settings!$B$5,0)</f>
        <v/>
      </c>
      <c r="U14" s="37" t="n"/>
      <c r="V14" s="37" t="n">
        <v>0</v>
      </c>
      <c r="W14" s="37" t="n"/>
      <c r="X14" s="37" t="n"/>
      <c r="Y14" s="37" t="n"/>
      <c r="Z14" s="37" t="n">
        <v>0</v>
      </c>
      <c r="AA14" s="37" t="inlineStr">
        <is>
          <t>COUNTS AS EATING. Clears this turn's hunger requirement exactly like a Regret Burger meal or a grocery meal, and prevents the YOU FORGOT TO EAT! card next turn.</t>
        </is>
      </c>
      <c r="AB14" s="37" t="inlineStr">
        <is>
          <t>Expensive convenience | v6.1: restored the v5.1 price that matches the painted menu ($80).</t>
        </is>
      </c>
      <c r="AC14" s="37" t="inlineStr">
        <is>
          <t>MVP</t>
        </is>
      </c>
      <c r="AD14" s="37" t="inlineStr">
        <is>
          <t>Eat</t>
        </is>
      </c>
      <c r="AE14" s="37" t="n"/>
      <c r="AF14" s="37" t="n"/>
      <c r="AG14" s="37" t="n"/>
      <c r="AH14" s="37" t="n"/>
      <c r="AI14" s="37" t="inlineStr">
        <is>
          <t>Now explicitly counts as eating (Counts As = Eat)</t>
        </is>
      </c>
    </row>
    <row r="15" ht="15" customHeight="1" s="24">
      <c r="A15" s="37" t="inlineStr">
        <is>
          <t>A014</t>
        </is>
      </c>
      <c r="B15" s="37" t="inlineStr">
        <is>
          <t>Luxury Apartments</t>
        </is>
      </c>
      <c r="C15" s="37" t="inlineStr">
        <is>
          <t>Host Friends</t>
        </is>
      </c>
      <c r="D15" s="37" t="inlineStr">
        <is>
          <t>Social</t>
        </is>
      </c>
      <c r="E15" s="37" t="inlineStr">
        <is>
          <t>Luxury apartment + Fancy Dinnerware owned</t>
        </is>
      </c>
      <c r="F15" s="37" t="n">
        <v>2</v>
      </c>
      <c r="G15" s="37" t="n">
        <v>0.6</v>
      </c>
      <c r="H15" s="37">
        <f>ROUND($G15*Settings!$B$3,0)</f>
        <v/>
      </c>
      <c r="I15" s="37">
        <f>ROUND($G15*Settings!$B$4,0)</f>
        <v/>
      </c>
      <c r="J15" s="37">
        <f>ROUND($G15*Settings!$B$5,0)</f>
        <v/>
      </c>
      <c r="K15" s="37" t="inlineStr">
        <is>
          <t>Connection</t>
        </is>
      </c>
      <c r="L15" s="37" t="n">
        <v>0.08</v>
      </c>
      <c r="M15" s="37">
        <f>ROUND($L15*Settings!$B$3,0)</f>
        <v/>
      </c>
      <c r="N15" s="37">
        <f>ROUND($L15*Settings!$B$4,0)</f>
        <v/>
      </c>
      <c r="O15" s="37">
        <f>ROUND($L15*Settings!$B$5,0)</f>
        <v/>
      </c>
      <c r="P15" s="37" t="inlineStr">
        <is>
          <t>Coolness Factor</t>
        </is>
      </c>
      <c r="Q15" s="37" t="n">
        <v>0.04</v>
      </c>
      <c r="R15" s="37">
        <f>ROUND($Q15*Settings!$B$3,0)</f>
        <v/>
      </c>
      <c r="S15" s="37">
        <f>ROUND($Q15*Settings!$B$4,0)</f>
        <v/>
      </c>
      <c r="T15" s="37">
        <f>ROUND($Q15*Settings!$B$5,0)</f>
        <v/>
      </c>
      <c r="U15" s="37" t="n"/>
      <c r="V15" s="37" t="n">
        <v>0</v>
      </c>
      <c r="W15" s="37" t="n"/>
      <c r="X15" s="37" t="n"/>
      <c r="Y15" s="37" t="n"/>
      <c r="Z15" s="37" t="n">
        <v>0</v>
      </c>
      <c r="AA15" s="37" t="n"/>
      <c r="AB15" s="37" t="inlineStr">
        <is>
          <t>Luxury social route | v6.1: restored the v5.1 price that matches the painted menu ($60).</t>
        </is>
      </c>
      <c r="AC15" s="37" t="inlineStr">
        <is>
          <t>MVP</t>
        </is>
      </c>
      <c r="AD15" s="37" t="n"/>
      <c r="AE15" s="37" t="inlineStr">
        <is>
          <t>Fancy Dinnerware</t>
        </is>
      </c>
      <c r="AF15" s="37" t="n"/>
      <c r="AG15" s="37" t="n"/>
      <c r="AH15" s="37" t="n"/>
      <c r="AI15" s="37" t="inlineStr">
        <is>
          <t>Now requires Fancy Dinnerware (new item I042)</t>
        </is>
      </c>
    </row>
    <row r="16" ht="15" customHeight="1" s="24">
      <c r="A16" s="37" t="inlineStr">
        <is>
          <t>A015</t>
        </is>
      </c>
      <c r="B16" s="37" t="inlineStr">
        <is>
          <t>Luxury Apartments</t>
        </is>
      </c>
      <c r="C16" s="37" t="inlineStr">
        <is>
          <t>Work From Home</t>
        </is>
      </c>
      <c r="D16" s="37" t="inlineStr">
        <is>
          <t>Work</t>
        </is>
      </c>
      <c r="E16" s="37" t="inlineStr">
        <is>
          <t>Luxury apartment + computer + desk + job</t>
        </is>
      </c>
      <c r="F16" s="37" t="n">
        <v>2</v>
      </c>
      <c r="G16" s="37" t="n">
        <v>0</v>
      </c>
      <c r="H16" s="37">
        <f>ROUND($G16*Settings!$B$3,0)</f>
        <v/>
      </c>
      <c r="I16" s="37">
        <f>ROUND($G16*Settings!$B$4,0)</f>
        <v/>
      </c>
      <c r="J16" s="37">
        <f>ROUND($G16*Settings!$B$5,0)</f>
        <v/>
      </c>
      <c r="K16" s="37" t="inlineStr">
        <is>
          <t>From job tier</t>
        </is>
      </c>
      <c r="L16" s="37" t="n">
        <v>0</v>
      </c>
      <c r="M16" s="37">
        <f>ROUND($L16*Settings!$B$3,0)</f>
        <v/>
      </c>
      <c r="N16" s="37">
        <f>ROUND($L16*Settings!$B$4,0)</f>
        <v/>
      </c>
      <c r="O16" s="37">
        <f>ROUND($L16*Settings!$B$5,0)</f>
        <v/>
      </c>
      <c r="P16" s="37" t="inlineStr">
        <is>
          <t>From job tier</t>
        </is>
      </c>
      <c r="Q16" s="37" t="n">
        <v>0</v>
      </c>
      <c r="R16" s="37">
        <f>ROUND($Q16*Settings!$B$3,0)</f>
        <v/>
      </c>
      <c r="S16" s="37">
        <f>ROUND($Q16*Settings!$B$4,0)</f>
        <v/>
      </c>
      <c r="T16" s="37">
        <f>ROUND($Q16*Settings!$B$5,0)</f>
        <v/>
      </c>
      <c r="U16" s="37" t="n"/>
      <c r="V16" s="37" t="n">
        <v>0</v>
      </c>
      <c r="W16" s="37" t="inlineStr">
        <is>
          <t>Health</t>
        </is>
      </c>
      <c r="X16" s="37" t="n">
        <v>0.025</v>
      </c>
      <c r="Y16" s="37" t="inlineStr">
        <is>
          <t>Happiness</t>
        </is>
      </c>
      <c r="Z16" s="37" t="n">
        <v>0.025</v>
      </c>
      <c r="AA16" s="37" t="inlineStr">
        <is>
          <t>Counts as a Work click for tier progression. Money and Career come from the current job tier (Jobs_Named / Job_Progression), multiplied by 0.85 because working from home costs no travel.</t>
        </is>
      </c>
      <c r="AB16" s="37" t="inlineStr">
        <is>
          <t>Good but still has burnout</t>
        </is>
      </c>
      <c r="AC16" s="37" t="inlineStr">
        <is>
          <t>MVP</t>
        </is>
      </c>
      <c r="AD16" s="37" t="inlineStr">
        <is>
          <t>Work</t>
        </is>
      </c>
      <c r="AE16" s="37" t="n"/>
      <c r="AF16" s="37" t="n"/>
      <c r="AG16" s="37" t="n"/>
      <c r="AH16" s="37" t="n">
        <v>0.85</v>
      </c>
      <c r="AI16" s="37" t="inlineStr">
        <is>
          <t>Money/Career now come from job tier; 0.85 convenience multiplier</t>
        </is>
      </c>
    </row>
    <row r="17" ht="15" customHeight="1" s="24">
      <c r="A17" s="23" t="inlineStr">
        <is>
          <t>A016</t>
        </is>
      </c>
      <c r="B17" s="23" t="inlineStr">
        <is>
          <t>Luxury Apartments</t>
        </is>
      </c>
      <c r="C17" s="23" t="inlineStr">
        <is>
          <t>Pet Spa Treatment</t>
        </is>
      </c>
      <c r="D17" s="23" t="inlineStr">
        <is>
          <t>Pet</t>
        </is>
      </c>
      <c r="E17" s="23" t="inlineStr">
        <is>
          <t>Luxury apartment + own pet</t>
        </is>
      </c>
      <c r="F17" s="23" t="n">
        <v>1</v>
      </c>
      <c r="G17" s="23" t="n">
        <v>0.8</v>
      </c>
      <c r="H17" s="23">
        <f>ROUND($G17*Settings!$B$3,0)</f>
        <v/>
      </c>
      <c r="I17" s="23">
        <f>ROUND($G17*Settings!$B$4,0)</f>
        <v/>
      </c>
      <c r="J17" s="23">
        <f>ROUND($G17*Settings!$B$5,0)</f>
        <v/>
      </c>
      <c r="L17" s="23" t="n">
        <v>0</v>
      </c>
      <c r="M17" s="23">
        <f>ROUND($L17*Settings!$B$3,0)</f>
        <v/>
      </c>
      <c r="N17" s="23">
        <f>ROUND($L17*Settings!$B$4,0)</f>
        <v/>
      </c>
      <c r="O17" s="23">
        <f>ROUND($L17*Settings!$B$5,0)</f>
        <v/>
      </c>
      <c r="Q17" s="23" t="n">
        <v>0</v>
      </c>
      <c r="R17" s="23">
        <f>ROUND($Q17*Settings!$B$3,0)</f>
        <v/>
      </c>
      <c r="S17" s="23">
        <f>ROUND($Q17*Settings!$B$4,0)</f>
        <v/>
      </c>
      <c r="T17" s="23">
        <f>ROUND($Q17*Settings!$B$5,0)</f>
        <v/>
      </c>
      <c r="U17" s="23" t="inlineStr">
        <is>
          <t>Pet Health</t>
        </is>
      </c>
      <c r="V17" s="23" t="n">
        <v>0.1</v>
      </c>
      <c r="Z17" s="23" t="n">
        <v>0</v>
      </c>
      <c r="AB17" s="23" t="inlineStr">
        <is>
          <t>Premium pet recovery | v6.1: restored the v5.1 price that matches the painted menu ($80).</t>
        </is>
      </c>
      <c r="AC17" s="23" t="inlineStr">
        <is>
          <t>MVP</t>
        </is>
      </c>
    </row>
    <row r="18" ht="15" customHeight="1" s="24">
      <c r="A18" s="37" t="inlineStr">
        <is>
          <t>A017</t>
        </is>
      </c>
      <c r="B18" s="37" t="inlineStr">
        <is>
          <t>Luxury Apartments</t>
        </is>
      </c>
      <c r="C18" s="37" t="inlineStr">
        <is>
          <t>Pay Luxury Rent</t>
        </is>
      </c>
      <c r="D18" s="37" t="inlineStr">
        <is>
          <t>Rent</t>
        </is>
      </c>
      <c r="E18" s="37" t="inlineStr">
        <is>
          <t>Always available while housed here</t>
        </is>
      </c>
      <c r="F18" s="37" t="n">
        <v>0</v>
      </c>
      <c r="G18" s="37" t="n">
        <v>4</v>
      </c>
      <c r="H18" s="37">
        <f>ROUND($G18*Settings!$B$3,0)</f>
        <v/>
      </c>
      <c r="I18" s="37">
        <f>ROUND($G18*Settings!$B$4,0)</f>
        <v/>
      </c>
      <c r="J18" s="37">
        <f>ROUND($G18*Settings!$B$5,0)</f>
        <v/>
      </c>
      <c r="K18" s="37" t="n"/>
      <c r="L18" s="37" t="n">
        <v>0</v>
      </c>
      <c r="M18" s="37">
        <f>ROUND($L18*Settings!$B$3,0)</f>
        <v/>
      </c>
      <c r="N18" s="37">
        <f>ROUND($L18*Settings!$B$4,0)</f>
        <v/>
      </c>
      <c r="O18" s="37">
        <f>ROUND($L18*Settings!$B$5,0)</f>
        <v/>
      </c>
      <c r="P18" s="37" t="n"/>
      <c r="Q18" s="37" t="n">
        <v>0</v>
      </c>
      <c r="R18" s="37">
        <f>ROUND($Q18*Settings!$B$3,0)</f>
        <v/>
      </c>
      <c r="S18" s="37">
        <f>ROUND($Q18*Settings!$B$4,0)</f>
        <v/>
      </c>
      <c r="T18" s="37">
        <f>ROUND($Q18*Settings!$B$5,0)</f>
        <v/>
      </c>
      <c r="U18" s="37" t="n"/>
      <c r="V18" s="37" t="n">
        <v>0</v>
      </c>
      <c r="W18" s="37" t="n"/>
      <c r="X18" s="37" t="n"/>
      <c r="Y18" s="37" t="n"/>
      <c r="Z18" s="37" t="n">
        <v>0</v>
      </c>
      <c r="AA18" s="37" t="inlineStr">
        <is>
          <t>PAY RENT. This action is ALWAYS listed in the housing menu and is never hidden, never filtered out, and never costs Time Units. It has four display states: RENT DUE (shows the amount, highlighted), PAID (shows the turn the next payment falls due), NOT YET DUE (shows turns remaining; the player may pre-pay the next cycle), and CANNOT AFFORD (greyed, shows the exact shortfall). On success: deduct the money, play PP-Money.mp3, write a log line, and set the next due turn to the current turn + the Rent Interval. If rent is still unpaid when the rent-due turn ends, the player becomes homeless.</t>
        </is>
      </c>
      <c r="AB18" s="37" t="inlineStr">
        <is>
          <t>v6 BUG FIX. Cost is a MULTIPLE of B, not a percent: 1 = $100 low rent, 4 = $400 luxury rent at the Short baseline. Reading these as 1% and 4% of B charges $1 and $4 and breaks the economy. A menu row that does nothing when clicked is the reported playtest bug.</t>
        </is>
      </c>
      <c r="AC18" s="37" t="inlineStr">
        <is>
          <t>MVP</t>
        </is>
      </c>
      <c r="AD18" s="37" t="n"/>
      <c r="AE18" s="37" t="n"/>
      <c r="AF18" s="37" t="n"/>
      <c r="AG18" s="37" t="n"/>
      <c r="AH18" s="37" t="n"/>
      <c r="AI18" s="37" t="inlineStr">
        <is>
          <t>Pay Rent rebuilt: always visible, four states, explicit handler</t>
        </is>
      </c>
    </row>
    <row r="19" ht="15" customHeight="1" s="24">
      <c r="A19" s="23" t="inlineStr">
        <is>
          <t>A018</t>
        </is>
      </c>
      <c r="B19" s="23" t="inlineStr">
        <is>
          <t>Park</t>
        </is>
      </c>
      <c r="C19" s="23" t="inlineStr">
        <is>
          <t>Take a Walk</t>
        </is>
      </c>
      <c r="D19" s="23" t="inlineStr">
        <is>
          <t>Health</t>
        </is>
      </c>
      <c r="E19" s="23" t="inlineStr">
        <is>
          <t>None</t>
        </is>
      </c>
      <c r="F19" s="23" t="n">
        <v>1</v>
      </c>
      <c r="G19" s="23" t="n">
        <v>0</v>
      </c>
      <c r="H19" s="23">
        <f>ROUND($G19*Settings!$B$3,0)</f>
        <v/>
      </c>
      <c r="I19" s="23">
        <f>ROUND($G19*Settings!$B$4,0)</f>
        <v/>
      </c>
      <c r="J19" s="23">
        <f>ROUND($G19*Settings!$B$5,0)</f>
        <v/>
      </c>
      <c r="K19" s="23" t="inlineStr">
        <is>
          <t>Health</t>
        </is>
      </c>
      <c r="L19" s="23" t="n">
        <v>0.025</v>
      </c>
      <c r="M19" s="23">
        <f>ROUND($L19*Settings!$B$3,0)</f>
        <v/>
      </c>
      <c r="N19" s="23">
        <f>ROUND($L19*Settings!$B$4,0)</f>
        <v/>
      </c>
      <c r="O19" s="23">
        <f>ROUND($L19*Settings!$B$5,0)</f>
        <v/>
      </c>
      <c r="P19" s="23" t="inlineStr">
        <is>
          <t>Happiness</t>
        </is>
      </c>
      <c r="Q19" s="23" t="n">
        <v>0.025</v>
      </c>
      <c r="R19" s="23">
        <f>ROUND($Q19*Settings!$B$3,0)</f>
        <v/>
      </c>
      <c r="S19" s="23">
        <f>ROUND($Q19*Settings!$B$4,0)</f>
        <v/>
      </c>
      <c r="T19" s="23">
        <f>ROUND($Q19*Settings!$B$5,0)</f>
        <v/>
      </c>
      <c r="V19" s="23" t="n">
        <v>0</v>
      </c>
      <c r="Z19" s="23" t="n">
        <v>0</v>
      </c>
      <c r="AB19" s="23" t="inlineStr">
        <is>
          <t>Small free action</t>
        </is>
      </c>
      <c r="AC19" s="23" t="inlineStr">
        <is>
          <t>MVP</t>
        </is>
      </c>
    </row>
    <row r="20" ht="15" customHeight="1" s="24">
      <c r="A20" s="23" t="inlineStr">
        <is>
          <t>A019</t>
        </is>
      </c>
      <c r="B20" s="23" t="inlineStr">
        <is>
          <t>Park</t>
        </is>
      </c>
      <c r="C20" s="23" t="inlineStr">
        <is>
          <t>Touch Grass</t>
        </is>
      </c>
      <c r="D20" s="23" t="inlineStr">
        <is>
          <t>Enlightenment</t>
        </is>
      </c>
      <c r="E20" s="23" t="inlineStr">
        <is>
          <t>None</t>
        </is>
      </c>
      <c r="F20" s="23" t="n">
        <v>1</v>
      </c>
      <c r="G20" s="23" t="n">
        <v>0</v>
      </c>
      <c r="H20" s="23">
        <f>ROUND($G20*Settings!$B$3,0)</f>
        <v/>
      </c>
      <c r="I20" s="23">
        <f>ROUND($G20*Settings!$B$4,0)</f>
        <v/>
      </c>
      <c r="J20" s="23">
        <f>ROUND($G20*Settings!$B$5,0)</f>
        <v/>
      </c>
      <c r="K20" s="23" t="inlineStr">
        <is>
          <t>Enlightenment</t>
        </is>
      </c>
      <c r="L20" s="23" t="n">
        <v>0.05</v>
      </c>
      <c r="M20" s="23">
        <f>ROUND($L20*Settings!$B$3,0)</f>
        <v/>
      </c>
      <c r="N20" s="23">
        <f>ROUND($L20*Settings!$B$4,0)</f>
        <v/>
      </c>
      <c r="O20" s="23">
        <f>ROUND($L20*Settings!$B$5,0)</f>
        <v/>
      </c>
      <c r="P20" s="23" t="inlineStr">
        <is>
          <t>Health</t>
        </is>
      </c>
      <c r="Q20" s="23" t="n">
        <v>0.025</v>
      </c>
      <c r="R20" s="23">
        <f>ROUND($Q20*Settings!$B$3,0)</f>
        <v/>
      </c>
      <c r="S20" s="23">
        <f>ROUND($Q20*Settings!$B$4,0)</f>
        <v/>
      </c>
      <c r="T20" s="23">
        <f>ROUND($Q20*Settings!$B$5,0)</f>
        <v/>
      </c>
      <c r="V20" s="23" t="n">
        <v>0</v>
      </c>
      <c r="Z20" s="23" t="n">
        <v>0</v>
      </c>
      <c r="AB20" s="23" t="inlineStr">
        <is>
          <t>Free enlightenment route</t>
        </is>
      </c>
      <c r="AC20" s="23" t="inlineStr">
        <is>
          <t>MVP</t>
        </is>
      </c>
    </row>
    <row r="21" ht="15" customHeight="1" s="24">
      <c r="A21" s="23" t="inlineStr">
        <is>
          <t>A020</t>
        </is>
      </c>
      <c r="B21" s="23" t="inlineStr">
        <is>
          <t>Park</t>
        </is>
      </c>
      <c r="C21" s="23" t="inlineStr">
        <is>
          <t>Feed Judgmental Ducks</t>
        </is>
      </c>
      <c r="D21" s="23" t="inlineStr">
        <is>
          <t>Fun</t>
        </is>
      </c>
      <c r="E21" s="23" t="inlineStr">
        <is>
          <t>None</t>
        </is>
      </c>
      <c r="F21" s="23" t="n">
        <v>1</v>
      </c>
      <c r="G21" s="23" t="n">
        <v>0.01</v>
      </c>
      <c r="H21" s="23">
        <f>ROUND($G21*Settings!$B$3,0)</f>
        <v/>
      </c>
      <c r="I21" s="23">
        <f>ROUND($G21*Settings!$B$4,0)</f>
        <v/>
      </c>
      <c r="J21" s="23">
        <f>ROUND($G21*Settings!$B$5,0)</f>
        <v/>
      </c>
      <c r="K21" s="23" t="inlineStr">
        <is>
          <t>Happiness</t>
        </is>
      </c>
      <c r="L21" s="23" t="n">
        <v>0.04</v>
      </c>
      <c r="M21" s="23">
        <f>ROUND($L21*Settings!$B$3,0)</f>
        <v/>
      </c>
      <c r="N21" s="23">
        <f>ROUND($L21*Settings!$B$4,0)</f>
        <v/>
      </c>
      <c r="O21" s="23">
        <f>ROUND($L21*Settings!$B$5,0)</f>
        <v/>
      </c>
      <c r="Q21" s="23" t="n">
        <v>0</v>
      </c>
      <c r="R21" s="23">
        <f>ROUND($Q21*Settings!$B$3,0)</f>
        <v/>
      </c>
      <c r="S21" s="23">
        <f>ROUND($Q21*Settings!$B$4,0)</f>
        <v/>
      </c>
      <c r="T21" s="23">
        <f>ROUND($Q21*Settings!$B$5,0)</f>
        <v/>
      </c>
      <c r="V21" s="23" t="n">
        <v>0</v>
      </c>
      <c r="Z21" s="23" t="n">
        <v>0</v>
      </c>
      <c r="AB21" s="23" t="inlineStr">
        <is>
          <t>Cheap happiness</t>
        </is>
      </c>
      <c r="AC21" s="23" t="inlineStr">
        <is>
          <t>MVP</t>
        </is>
      </c>
    </row>
    <row r="22" ht="15" customHeight="1" s="24">
      <c r="A22" s="23" t="inlineStr">
        <is>
          <t>A021</t>
        </is>
      </c>
      <c r="B22" s="23" t="inlineStr">
        <is>
          <t>Park</t>
        </is>
      </c>
      <c r="C22" s="23" t="inlineStr">
        <is>
          <t>Use Restroom of Uncertainty</t>
        </is>
      </c>
      <c r="D22" s="23" t="inlineStr">
        <is>
          <t>Health</t>
        </is>
      </c>
      <c r="E22" s="23" t="inlineStr">
        <is>
          <t>None</t>
        </is>
      </c>
      <c r="F22" s="23" t="n">
        <v>1</v>
      </c>
      <c r="G22" s="23" t="n">
        <v>0</v>
      </c>
      <c r="H22" s="23">
        <f>ROUND($G22*Settings!$B$3,0)</f>
        <v/>
      </c>
      <c r="I22" s="23">
        <f>ROUND($G22*Settings!$B$4,0)</f>
        <v/>
      </c>
      <c r="J22" s="23">
        <f>ROUND($G22*Settings!$B$5,0)</f>
        <v/>
      </c>
      <c r="K22" s="23" t="inlineStr">
        <is>
          <t>Health</t>
        </is>
      </c>
      <c r="L22" s="23" t="n">
        <v>0.02</v>
      </c>
      <c r="M22" s="23">
        <f>ROUND($L22*Settings!$B$3,0)</f>
        <v/>
      </c>
      <c r="N22" s="23">
        <f>ROUND($L22*Settings!$B$4,0)</f>
        <v/>
      </c>
      <c r="O22" s="23">
        <f>ROUND($L22*Settings!$B$5,0)</f>
        <v/>
      </c>
      <c r="Q22" s="23" t="n">
        <v>0</v>
      </c>
      <c r="R22" s="23">
        <f>ROUND($Q22*Settings!$B$3,0)</f>
        <v/>
      </c>
      <c r="S22" s="23">
        <f>ROUND($Q22*Settings!$B$4,0)</f>
        <v/>
      </c>
      <c r="T22" s="23">
        <f>ROUND($Q22*Settings!$B$5,0)</f>
        <v/>
      </c>
      <c r="V22" s="23" t="n">
        <v>0</v>
      </c>
      <c r="W22" s="23" t="inlineStr">
        <is>
          <t>Happiness</t>
        </is>
      </c>
      <c r="X22" s="23" t="n">
        <v>0.01</v>
      </c>
      <c r="Z22" s="23" t="n">
        <v>0</v>
      </c>
      <c r="AB22" s="23" t="inlineStr">
        <is>
          <t>Comedy maintenance</t>
        </is>
      </c>
      <c r="AC22" s="23" t="inlineStr">
        <is>
          <t>MVP</t>
        </is>
      </c>
    </row>
    <row r="23" ht="15" customHeight="1" s="24">
      <c r="A23" s="23" t="inlineStr">
        <is>
          <t>A022</t>
        </is>
      </c>
      <c r="B23" s="23" t="inlineStr">
        <is>
          <t>Park</t>
        </is>
      </c>
      <c r="C23" s="23" t="inlineStr">
        <is>
          <t>Nap on Park Bench</t>
        </is>
      </c>
      <c r="D23" s="23" t="inlineStr">
        <is>
          <t>Rest</t>
        </is>
      </c>
      <c r="E23" s="23" t="inlineStr">
        <is>
          <t>None</t>
        </is>
      </c>
      <c r="F23" s="23" t="n">
        <v>1</v>
      </c>
      <c r="G23" s="23" t="n">
        <v>0</v>
      </c>
      <c r="H23" s="23">
        <f>ROUND($G23*Settings!$B$3,0)</f>
        <v/>
      </c>
      <c r="I23" s="23">
        <f>ROUND($G23*Settings!$B$4,0)</f>
        <v/>
      </c>
      <c r="J23" s="23">
        <f>ROUND($G23*Settings!$B$5,0)</f>
        <v/>
      </c>
      <c r="K23" s="23" t="inlineStr">
        <is>
          <t>Health</t>
        </is>
      </c>
      <c r="L23" s="23" t="n">
        <v>0.03</v>
      </c>
      <c r="M23" s="23">
        <f>ROUND($L23*Settings!$B$3,0)</f>
        <v/>
      </c>
      <c r="N23" s="23">
        <f>ROUND($L23*Settings!$B$4,0)</f>
        <v/>
      </c>
      <c r="O23" s="23">
        <f>ROUND($L23*Settings!$B$5,0)</f>
        <v/>
      </c>
      <c r="P23" s="23" t="inlineStr">
        <is>
          <t>Happiness</t>
        </is>
      </c>
      <c r="Q23" s="23" t="n">
        <v>0.02</v>
      </c>
      <c r="R23" s="23">
        <f>ROUND($Q23*Settings!$B$3,0)</f>
        <v/>
      </c>
      <c r="S23" s="23">
        <f>ROUND($Q23*Settings!$B$4,0)</f>
        <v/>
      </c>
      <c r="T23" s="23">
        <f>ROUND($Q23*Settings!$B$5,0)</f>
        <v/>
      </c>
      <c r="V23" s="23" t="n">
        <v>0</v>
      </c>
      <c r="Z23" s="23" t="n">
        <v>0</v>
      </c>
      <c r="AA23" s="23" t="inlineStr">
        <is>
          <t>Counts as relaxing</t>
        </is>
      </c>
      <c r="AB23" s="23" t="inlineStr">
        <is>
          <t>Free stress recovery</t>
        </is>
      </c>
      <c r="AC23" s="23" t="inlineStr">
        <is>
          <t>MVP</t>
        </is>
      </c>
      <c r="AD23" s="23" t="inlineStr">
        <is>
          <t>Relax</t>
        </is>
      </c>
    </row>
    <row r="24" ht="15" customHeight="1" s="24">
      <c r="A24" s="23" t="inlineStr">
        <is>
          <t>A023</t>
        </is>
      </c>
      <c r="B24" s="23" t="inlineStr">
        <is>
          <t>Park</t>
        </is>
      </c>
      <c r="C24" s="23" t="inlineStr">
        <is>
          <t>Pick Up Loose Change</t>
        </is>
      </c>
      <c r="D24" s="23" t="inlineStr">
        <is>
          <t>Money</t>
        </is>
      </c>
      <c r="E24" s="23" t="inlineStr">
        <is>
          <t>None</t>
        </is>
      </c>
      <c r="F24" s="23" t="n">
        <v>1</v>
      </c>
      <c r="G24" s="23" t="n">
        <v>0</v>
      </c>
      <c r="H24" s="23">
        <f>ROUND($G24*Settings!$B$3,0)</f>
        <v/>
      </c>
      <c r="I24" s="23">
        <f>ROUND($G24*Settings!$B$4,0)</f>
        <v/>
      </c>
      <c r="J24" s="23">
        <f>ROUND($G24*Settings!$B$5,0)</f>
        <v/>
      </c>
      <c r="K24" s="23" t="inlineStr">
        <is>
          <t>Money</t>
        </is>
      </c>
      <c r="L24" s="23" t="n">
        <v>0.025</v>
      </c>
      <c r="M24" s="23">
        <f>ROUND($L24*Settings!$B$3,0)</f>
        <v/>
      </c>
      <c r="N24" s="23">
        <f>ROUND($L24*Settings!$B$4,0)</f>
        <v/>
      </c>
      <c r="O24" s="23">
        <f>ROUND($L24*Settings!$B$5,0)</f>
        <v/>
      </c>
      <c r="Q24" s="23" t="n">
        <v>0</v>
      </c>
      <c r="R24" s="23">
        <f>ROUND($Q24*Settings!$B$3,0)</f>
        <v/>
      </c>
      <c r="S24" s="23">
        <f>ROUND($Q24*Settings!$B$4,0)</f>
        <v/>
      </c>
      <c r="T24" s="23">
        <f>ROUND($Q24*Settings!$B$5,0)</f>
        <v/>
      </c>
      <c r="V24" s="23" t="n">
        <v>0</v>
      </c>
      <c r="Z24" s="23" t="n">
        <v>0</v>
      </c>
      <c r="AB24" s="23" t="inlineStr">
        <is>
          <t>Tiny money route</t>
        </is>
      </c>
      <c r="AC24" s="23" t="inlineStr">
        <is>
          <t>MVP</t>
        </is>
      </c>
    </row>
    <row r="25" ht="15" customHeight="1" s="24">
      <c r="A25" s="23" t="inlineStr">
        <is>
          <t>A024</t>
        </is>
      </c>
      <c r="B25" s="23" t="inlineStr">
        <is>
          <t>Park</t>
        </is>
      </c>
      <c r="C25" s="23" t="inlineStr">
        <is>
          <t>Homeless Support Cheque</t>
        </is>
      </c>
      <c r="D25" s="23" t="inlineStr">
        <is>
          <t>Comeback</t>
        </is>
      </c>
      <c r="E25" s="23" t="inlineStr">
        <is>
          <t>Homeless + rent cycle only</t>
        </is>
      </c>
      <c r="F25" s="23" t="n">
        <v>0</v>
      </c>
      <c r="G25" s="23" t="n">
        <v>0</v>
      </c>
      <c r="H25" s="23">
        <f>ROUND($G25*Settings!$B$3,0)</f>
        <v/>
      </c>
      <c r="I25" s="23">
        <f>ROUND($G25*Settings!$B$4,0)</f>
        <v/>
      </c>
      <c r="J25" s="23">
        <f>ROUND($G25*Settings!$B$5,0)</f>
        <v/>
      </c>
      <c r="K25" s="23" t="inlineStr">
        <is>
          <t>Money</t>
        </is>
      </c>
      <c r="L25" s="23" t="n">
        <v>2</v>
      </c>
      <c r="M25" s="23">
        <f>ROUND($L25*Settings!$B$3,0)</f>
        <v/>
      </c>
      <c r="N25" s="23">
        <f>ROUND($L25*Settings!$B$4,0)</f>
        <v/>
      </c>
      <c r="O25" s="23">
        <f>ROUND($L25*Settings!$B$5,0)</f>
        <v/>
      </c>
      <c r="Q25" s="23" t="n">
        <v>0</v>
      </c>
      <c r="R25" s="23">
        <f>ROUND($Q25*Settings!$B$3,0)</f>
        <v/>
      </c>
      <c r="S25" s="23">
        <f>ROUND($Q25*Settings!$B$4,0)</f>
        <v/>
      </c>
      <c r="T25" s="23">
        <f>ROUND($Q25*Settings!$B$5,0)</f>
        <v/>
      </c>
      <c r="V25" s="23" t="n">
        <v>0</v>
      </c>
      <c r="Z25" s="23" t="n">
        <v>0</v>
      </c>
      <c r="AA25" s="23" t="inlineStr">
        <is>
          <t>Enough for casual clothes + low-cost rent</t>
        </is>
      </c>
      <c r="AB25" s="23" t="inlineStr">
        <is>
          <t>v5: cheque raised to $200 so it still covers casual clothes ($50) + low rent ($100) + a few meals.</t>
        </is>
      </c>
      <c r="AC25" s="23" t="inlineStr">
        <is>
          <t>MVP</t>
        </is>
      </c>
    </row>
    <row r="26" ht="15" customHeight="1" s="24">
      <c r="A26" s="23" t="inlineStr">
        <is>
          <t>A025</t>
        </is>
      </c>
      <c r="B26" s="23" t="inlineStr">
        <is>
          <t>Park</t>
        </is>
      </c>
      <c r="C26" s="23" t="inlineStr">
        <is>
          <t>Sleep in Park if Homeless</t>
        </is>
      </c>
      <c r="D26" s="23" t="inlineStr">
        <is>
          <t>Homeless</t>
        </is>
      </c>
      <c r="E26" s="23" t="inlineStr">
        <is>
          <t>Homeless</t>
        </is>
      </c>
      <c r="F26" s="23" t="n">
        <v>2</v>
      </c>
      <c r="G26" s="23" t="n">
        <v>0</v>
      </c>
      <c r="H26" s="23">
        <f>ROUND($G26*Settings!$B$3,0)</f>
        <v/>
      </c>
      <c r="I26" s="23">
        <f>ROUND($G26*Settings!$B$4,0)</f>
        <v/>
      </c>
      <c r="J26" s="23">
        <f>ROUND($G26*Settings!$B$5,0)</f>
        <v/>
      </c>
      <c r="K26" s="23" t="inlineStr">
        <is>
          <t>Health</t>
        </is>
      </c>
      <c r="L26" s="23" t="n">
        <v>0.015</v>
      </c>
      <c r="M26" s="23">
        <f>ROUND($L26*Settings!$B$3,0)</f>
        <v/>
      </c>
      <c r="N26" s="23">
        <f>ROUND($L26*Settings!$B$4,0)</f>
        <v/>
      </c>
      <c r="O26" s="23">
        <f>ROUND($L26*Settings!$B$5,0)</f>
        <v/>
      </c>
      <c r="Q26" s="23" t="n">
        <v>0</v>
      </c>
      <c r="R26" s="23">
        <f>ROUND($Q26*Settings!$B$3,0)</f>
        <v/>
      </c>
      <c r="S26" s="23">
        <f>ROUND($Q26*Settings!$B$4,0)</f>
        <v/>
      </c>
      <c r="T26" s="23">
        <f>ROUND($Q26*Settings!$B$5,0)</f>
        <v/>
      </c>
      <c r="V26" s="23" t="n">
        <v>0</v>
      </c>
      <c r="W26" s="23" t="inlineStr">
        <is>
          <t>Happiness</t>
        </is>
      </c>
      <c r="X26" s="23" t="n">
        <v>0.08</v>
      </c>
      <c r="Y26" s="23" t="inlineStr">
        <is>
          <t>Health</t>
        </is>
      </c>
      <c r="Z26" s="23" t="n">
        <v>0.03</v>
      </c>
      <c r="AA26" s="23" t="inlineStr">
        <is>
          <t>Survive turn</t>
        </is>
      </c>
      <c r="AB26" s="23" t="inlineStr">
        <is>
          <t>Painful but recoverable</t>
        </is>
      </c>
      <c r="AC26" s="23" t="inlineStr">
        <is>
          <t>MVP</t>
        </is>
      </c>
      <c r="AD26" s="23" t="inlineStr">
        <is>
          <t>Sleep + Relax</t>
        </is>
      </c>
    </row>
    <row r="27" ht="15" customHeight="1" s="24">
      <c r="A27" s="23" t="inlineStr">
        <is>
          <t>A026</t>
        </is>
      </c>
      <c r="B27" s="23" t="inlineStr">
        <is>
          <t>Air One Supermarket</t>
        </is>
      </c>
      <c r="C27" s="23" t="inlineStr">
        <is>
          <t>Buy 1 Week of Groceries</t>
        </is>
      </c>
      <c r="D27" s="23" t="inlineStr">
        <is>
          <t>Food</t>
        </is>
      </c>
      <c r="E27" s="23" t="inlineStr">
        <is>
          <t>None</t>
        </is>
      </c>
      <c r="F27" s="23" t="n">
        <v>1</v>
      </c>
      <c r="G27" s="23" t="n">
        <v>0.4</v>
      </c>
      <c r="H27" s="23">
        <f>ROUND($G27*Settings!$B$3,0)</f>
        <v/>
      </c>
      <c r="I27" s="23">
        <f>ROUND($G27*Settings!$B$4,0)</f>
        <v/>
      </c>
      <c r="J27" s="23">
        <f>ROUND($G27*Settings!$B$5,0)</f>
        <v/>
      </c>
      <c r="K27" s="23" t="inlineStr">
        <is>
          <t>Health</t>
        </is>
      </c>
      <c r="L27" s="23" t="n">
        <v>0.04</v>
      </c>
      <c r="M27" s="23">
        <f>ROUND($L27*Settings!$B$3,0)</f>
        <v/>
      </c>
      <c r="N27" s="23">
        <f>ROUND($L27*Settings!$B$4,0)</f>
        <v/>
      </c>
      <c r="O27" s="23">
        <f>ROUND($L27*Settings!$B$5,0)</f>
        <v/>
      </c>
      <c r="Q27" s="23" t="n">
        <v>0</v>
      </c>
      <c r="R27" s="23">
        <f>ROUND($Q27*Settings!$B$3,0)</f>
        <v/>
      </c>
      <c r="S27" s="23">
        <f>ROUND($Q27*Settings!$B$4,0)</f>
        <v/>
      </c>
      <c r="T27" s="23">
        <f>ROUND($Q27*Settings!$B$5,0)</f>
        <v/>
      </c>
      <c r="V27" s="23" t="n">
        <v>0</v>
      </c>
      <c r="Z27" s="23" t="n">
        <v>0</v>
      </c>
      <c r="AA27" s="23" t="inlineStr">
        <is>
          <t>Adds 1 week food supply</t>
        </is>
      </c>
      <c r="AB27" s="23" t="inlineStr">
        <is>
          <t>v5: 1 week groceries $40</t>
        </is>
      </c>
      <c r="AC27" s="23" t="inlineStr">
        <is>
          <t>MVP</t>
        </is>
      </c>
      <c r="AD27" s="23" t="inlineStr">
        <is>
          <t>Food supply (not a meal)</t>
        </is>
      </c>
    </row>
    <row r="28" ht="15" customHeight="1" s="24">
      <c r="A28" s="23" t="inlineStr">
        <is>
          <t>A027</t>
        </is>
      </c>
      <c r="B28" s="23" t="inlineStr">
        <is>
          <t>Air One Supermarket</t>
        </is>
      </c>
      <c r="C28" s="23" t="inlineStr">
        <is>
          <t>Buy 1 Week of Organic Groceries</t>
        </is>
      </c>
      <c r="D28" s="23" t="inlineStr">
        <is>
          <t>Food</t>
        </is>
      </c>
      <c r="E28" s="23" t="inlineStr">
        <is>
          <t>None</t>
        </is>
      </c>
      <c r="F28" s="23" t="n">
        <v>1</v>
      </c>
      <c r="G28" s="23" t="n">
        <v>0.7</v>
      </c>
      <c r="H28" s="23">
        <f>ROUND($G28*Settings!$B$3,0)</f>
        <v/>
      </c>
      <c r="I28" s="23">
        <f>ROUND($G28*Settings!$B$4,0)</f>
        <v/>
      </c>
      <c r="J28" s="23">
        <f>ROUND($G28*Settings!$B$5,0)</f>
        <v/>
      </c>
      <c r="K28" s="23" t="inlineStr">
        <is>
          <t>Health</t>
        </is>
      </c>
      <c r="L28" s="23" t="n">
        <v>0.08</v>
      </c>
      <c r="M28" s="23">
        <f>ROUND($L28*Settings!$B$3,0)</f>
        <v/>
      </c>
      <c r="N28" s="23">
        <f>ROUND($L28*Settings!$B$4,0)</f>
        <v/>
      </c>
      <c r="O28" s="23">
        <f>ROUND($L28*Settings!$B$5,0)</f>
        <v/>
      </c>
      <c r="Q28" s="23" t="n">
        <v>0</v>
      </c>
      <c r="R28" s="23">
        <f>ROUND($Q28*Settings!$B$3,0)</f>
        <v/>
      </c>
      <c r="S28" s="23">
        <f>ROUND($Q28*Settings!$B$4,0)</f>
        <v/>
      </c>
      <c r="T28" s="23">
        <f>ROUND($Q28*Settings!$B$5,0)</f>
        <v/>
      </c>
      <c r="V28" s="23" t="n">
        <v>0</v>
      </c>
      <c r="Z28" s="23" t="n">
        <v>0</v>
      </c>
      <c r="AA28" s="23" t="inlineStr">
        <is>
          <t>Adds premium food supply</t>
        </is>
      </c>
      <c r="AB28" s="23" t="inlineStr">
        <is>
          <t>v5: organic 1 week $70</t>
        </is>
      </c>
      <c r="AC28" s="23" t="inlineStr">
        <is>
          <t>MVP</t>
        </is>
      </c>
      <c r="AD28" s="23" t="inlineStr">
        <is>
          <t>Food supply (not a meal)</t>
        </is>
      </c>
    </row>
    <row r="29" ht="15" customHeight="1" s="24">
      <c r="A29" s="23" t="inlineStr">
        <is>
          <t>A028</t>
        </is>
      </c>
      <c r="B29" s="23" t="inlineStr">
        <is>
          <t>Air One Supermarket</t>
        </is>
      </c>
      <c r="C29" s="23" t="inlineStr">
        <is>
          <t>Buy 4 Weeks of Groceries</t>
        </is>
      </c>
      <c r="D29" s="23" t="inlineStr">
        <is>
          <t>Food</t>
        </is>
      </c>
      <c r="E29" s="23" t="inlineStr">
        <is>
          <t>Fridge required</t>
        </is>
      </c>
      <c r="F29" s="23" t="n">
        <v>1</v>
      </c>
      <c r="G29" s="23" t="n">
        <v>1.3</v>
      </c>
      <c r="H29" s="23">
        <f>ROUND($G29*Settings!$B$3,0)</f>
        <v/>
      </c>
      <c r="I29" s="23">
        <f>ROUND($G29*Settings!$B$4,0)</f>
        <v/>
      </c>
      <c r="J29" s="23">
        <f>ROUND($G29*Settings!$B$5,0)</f>
        <v/>
      </c>
      <c r="K29" s="23" t="inlineStr">
        <is>
          <t>Health</t>
        </is>
      </c>
      <c r="L29" s="23" t="n">
        <v>0.1</v>
      </c>
      <c r="M29" s="23">
        <f>ROUND($L29*Settings!$B$3,0)</f>
        <v/>
      </c>
      <c r="N29" s="23">
        <f>ROUND($L29*Settings!$B$4,0)</f>
        <v/>
      </c>
      <c r="O29" s="23">
        <f>ROUND($L29*Settings!$B$5,0)</f>
        <v/>
      </c>
      <c r="Q29" s="23" t="n">
        <v>0</v>
      </c>
      <c r="R29" s="23">
        <f>ROUND($Q29*Settings!$B$3,0)</f>
        <v/>
      </c>
      <c r="S29" s="23">
        <f>ROUND($Q29*Settings!$B$4,0)</f>
        <v/>
      </c>
      <c r="T29" s="23">
        <f>ROUND($Q29*Settings!$B$5,0)</f>
        <v/>
      </c>
      <c r="V29" s="23" t="n">
        <v>0</v>
      </c>
      <c r="Z29" s="23" t="n">
        <v>0</v>
      </c>
      <c r="AA29" s="23" t="inlineStr">
        <is>
          <t>Adds 4 weeks food supply</t>
        </is>
      </c>
      <c r="AB29" s="23" t="inlineStr">
        <is>
          <t>v5: 4 weeks $130; fridge required</t>
        </is>
      </c>
      <c r="AC29" s="23" t="inlineStr">
        <is>
          <t>MVP</t>
        </is>
      </c>
      <c r="AD29" s="23" t="inlineStr">
        <is>
          <t>Food supply (not a meal)</t>
        </is>
      </c>
    </row>
    <row r="30" ht="15" customHeight="1" s="24">
      <c r="A30" s="23" t="inlineStr">
        <is>
          <t>A029</t>
        </is>
      </c>
      <c r="B30" s="23" t="inlineStr">
        <is>
          <t>Air One Supermarket</t>
        </is>
      </c>
      <c r="C30" s="23" t="inlineStr">
        <is>
          <t>Buy $22 Smoothie</t>
        </is>
      </c>
      <c r="D30" s="23" t="inlineStr">
        <is>
          <t>Food</t>
        </is>
      </c>
      <c r="E30" s="23" t="inlineStr">
        <is>
          <t>None</t>
        </is>
      </c>
      <c r="F30" s="23" t="n">
        <v>1</v>
      </c>
      <c r="G30" s="23" t="n">
        <v>0.25</v>
      </c>
      <c r="H30" s="23">
        <f>ROUND($G30*Settings!$B$3,0)</f>
        <v/>
      </c>
      <c r="I30" s="23">
        <f>ROUND($G30*Settings!$B$4,0)</f>
        <v/>
      </c>
      <c r="J30" s="23">
        <f>ROUND($G30*Settings!$B$5,0)</f>
        <v/>
      </c>
      <c r="K30" s="23" t="inlineStr">
        <is>
          <t>Health</t>
        </is>
      </c>
      <c r="L30" s="23" t="n">
        <v>0.05</v>
      </c>
      <c r="M30" s="23">
        <f>ROUND($L30*Settings!$B$3,0)</f>
        <v/>
      </c>
      <c r="N30" s="23">
        <f>ROUND($L30*Settings!$B$4,0)</f>
        <v/>
      </c>
      <c r="O30" s="23">
        <f>ROUND($L30*Settings!$B$5,0)</f>
        <v/>
      </c>
      <c r="P30" s="23" t="inlineStr">
        <is>
          <t>Happiness</t>
        </is>
      </c>
      <c r="Q30" s="23" t="n">
        <v>0.02</v>
      </c>
      <c r="R30" s="23">
        <f>ROUND($Q30*Settings!$B$3,0)</f>
        <v/>
      </c>
      <c r="S30" s="23">
        <f>ROUND($Q30*Settings!$B$4,0)</f>
        <v/>
      </c>
      <c r="T30" s="23">
        <f>ROUND($Q30*Settings!$B$5,0)</f>
        <v/>
      </c>
      <c r="V30" s="23" t="n">
        <v>0</v>
      </c>
      <c r="Z30" s="23" t="n">
        <v>0</v>
      </c>
      <c r="AA30" s="23" t="inlineStr">
        <is>
          <t>Fills hunger lightly</t>
        </is>
      </c>
      <c r="AB30" s="23" t="inlineStr">
        <is>
          <t>Expensive joke item</t>
        </is>
      </c>
      <c r="AC30" s="23" t="inlineStr">
        <is>
          <t>MVP</t>
        </is>
      </c>
      <c r="AD30" s="23" t="inlineStr">
        <is>
          <t>Eat</t>
        </is>
      </c>
    </row>
    <row r="31" ht="15" customHeight="1" s="24">
      <c r="A31" s="23" t="inlineStr">
        <is>
          <t>A030</t>
        </is>
      </c>
      <c r="B31" s="23" t="inlineStr">
        <is>
          <t>Air One Supermarket</t>
        </is>
      </c>
      <c r="C31" s="23" t="inlineStr">
        <is>
          <t>Judge Window Shoppers</t>
        </is>
      </c>
      <c r="D31" s="23" t="inlineStr">
        <is>
          <t>Personality</t>
        </is>
      </c>
      <c r="E31" s="23" t="inlineStr">
        <is>
          <t>None</t>
        </is>
      </c>
      <c r="F31" s="23" t="n">
        <v>1</v>
      </c>
      <c r="G31" s="23" t="n">
        <v>0</v>
      </c>
      <c r="H31" s="23">
        <f>ROUND($G31*Settings!$B$3,0)</f>
        <v/>
      </c>
      <c r="I31" s="23">
        <f>ROUND($G31*Settings!$B$4,0)</f>
        <v/>
      </c>
      <c r="J31" s="23">
        <f>ROUND($G31*Settings!$B$5,0)</f>
        <v/>
      </c>
      <c r="K31" s="23" t="inlineStr">
        <is>
          <t>Enlightenment</t>
        </is>
      </c>
      <c r="L31" s="23" t="n">
        <v>0.03</v>
      </c>
      <c r="M31" s="23">
        <f>ROUND($L31*Settings!$B$3,0)</f>
        <v/>
      </c>
      <c r="N31" s="23">
        <f>ROUND($L31*Settings!$B$4,0)</f>
        <v/>
      </c>
      <c r="O31" s="23">
        <f>ROUND($L31*Settings!$B$5,0)</f>
        <v/>
      </c>
      <c r="P31" s="23" t="inlineStr">
        <is>
          <t>Coolness Factor</t>
        </is>
      </c>
      <c r="Q31" s="23" t="n">
        <v>0.02</v>
      </c>
      <c r="R31" s="23">
        <f>ROUND($Q31*Settings!$B$3,0)</f>
        <v/>
      </c>
      <c r="S31" s="23">
        <f>ROUND($Q31*Settings!$B$4,0)</f>
        <v/>
      </c>
      <c r="T31" s="23">
        <f>ROUND($Q31*Settings!$B$5,0)</f>
        <v/>
      </c>
      <c r="V31" s="23" t="n">
        <v>0</v>
      </c>
      <c r="Z31" s="23" t="n">
        <v>0</v>
      </c>
      <c r="AB31" s="23" t="inlineStr">
        <is>
          <t>Small hybrid</t>
        </is>
      </c>
      <c r="AC31" s="23" t="inlineStr">
        <is>
          <t>MVP</t>
        </is>
      </c>
    </row>
    <row r="32" ht="15" customHeight="1" s="24">
      <c r="A32" s="23" t="inlineStr">
        <is>
          <t>A031</t>
        </is>
      </c>
      <c r="B32" s="23" t="inlineStr">
        <is>
          <t>Air One Supermarket</t>
        </is>
      </c>
      <c r="C32" s="23" t="inlineStr">
        <is>
          <t>Buy Meal Prep Ingredients</t>
        </is>
      </c>
      <c r="D32" s="23" t="inlineStr">
        <is>
          <t>Food</t>
        </is>
      </c>
      <c r="E32" s="23" t="inlineStr">
        <is>
          <t>Fridge + stove</t>
        </is>
      </c>
      <c r="F32" s="23" t="n">
        <v>1</v>
      </c>
      <c r="G32" s="23" t="n">
        <v>0.6</v>
      </c>
      <c r="H32" s="23">
        <f>ROUND($G32*Settings!$B$3,0)</f>
        <v/>
      </c>
      <c r="I32" s="23">
        <f>ROUND($G32*Settings!$B$4,0)</f>
        <v/>
      </c>
      <c r="J32" s="23">
        <f>ROUND($G32*Settings!$B$5,0)</f>
        <v/>
      </c>
      <c r="K32" s="23" t="inlineStr">
        <is>
          <t>Health</t>
        </is>
      </c>
      <c r="L32" s="23" t="n">
        <v>0.1</v>
      </c>
      <c r="M32" s="23">
        <f>ROUND($L32*Settings!$B$3,0)</f>
        <v/>
      </c>
      <c r="N32" s="23">
        <f>ROUND($L32*Settings!$B$4,0)</f>
        <v/>
      </c>
      <c r="O32" s="23">
        <f>ROUND($L32*Settings!$B$5,0)</f>
        <v/>
      </c>
      <c r="Q32" s="23" t="n">
        <v>0</v>
      </c>
      <c r="R32" s="23">
        <f>ROUND($Q32*Settings!$B$3,0)</f>
        <v/>
      </c>
      <c r="S32" s="23">
        <f>ROUND($Q32*Settings!$B$4,0)</f>
        <v/>
      </c>
      <c r="T32" s="23">
        <f>ROUND($Q32*Settings!$B$5,0)</f>
        <v/>
      </c>
      <c r="V32" s="23" t="n">
        <v>0</v>
      </c>
      <c r="Z32" s="23" t="n">
        <v>0</v>
      </c>
      <c r="AA32" s="23" t="inlineStr">
        <is>
          <t>Better food efficiency at home</t>
        </is>
      </c>
      <c r="AB32" s="23" t="inlineStr">
        <is>
          <t>Mid/late food route</t>
        </is>
      </c>
      <c r="AC32" s="23" t="inlineStr">
        <is>
          <t>MVP</t>
        </is>
      </c>
      <c r="AD32" s="23" t="inlineStr">
        <is>
          <t>Food supply (not a meal)</t>
        </is>
      </c>
    </row>
    <row r="33" ht="15" customHeight="1" s="24">
      <c r="A33" s="23" t="inlineStr">
        <is>
          <t>A032</t>
        </is>
      </c>
      <c r="B33" s="23" t="inlineStr">
        <is>
          <t>Air One Supermarket</t>
        </is>
      </c>
      <c r="C33" s="23" t="inlineStr">
        <is>
          <t>Extreme Clean Eating</t>
        </is>
      </c>
      <c r="D33" s="23" t="inlineStr">
        <is>
          <t>Food</t>
        </is>
      </c>
      <c r="E33" s="23" t="inlineStr">
        <is>
          <t>None</t>
        </is>
      </c>
      <c r="F33" s="23" t="n">
        <v>1</v>
      </c>
      <c r="G33" s="23" t="n">
        <v>0.8</v>
      </c>
      <c r="H33" s="23">
        <f>ROUND($G33*Settings!$B$3,0)</f>
        <v/>
      </c>
      <c r="I33" s="23">
        <f>ROUND($G33*Settings!$B$4,0)</f>
        <v/>
      </c>
      <c r="J33" s="23">
        <f>ROUND($G33*Settings!$B$5,0)</f>
        <v/>
      </c>
      <c r="K33" s="23" t="inlineStr">
        <is>
          <t>Health</t>
        </is>
      </c>
      <c r="L33" s="23" t="n">
        <v>0.12</v>
      </c>
      <c r="M33" s="23">
        <f>ROUND($L33*Settings!$B$3,0)</f>
        <v/>
      </c>
      <c r="N33" s="23">
        <f>ROUND($L33*Settings!$B$4,0)</f>
        <v/>
      </c>
      <c r="O33" s="23">
        <f>ROUND($L33*Settings!$B$5,0)</f>
        <v/>
      </c>
      <c r="Q33" s="23" t="n">
        <v>0</v>
      </c>
      <c r="R33" s="23">
        <f>ROUND($Q33*Settings!$B$3,0)</f>
        <v/>
      </c>
      <c r="S33" s="23">
        <f>ROUND($Q33*Settings!$B$4,0)</f>
        <v/>
      </c>
      <c r="T33" s="23">
        <f>ROUND($Q33*Settings!$B$5,0)</f>
        <v/>
      </c>
      <c r="V33" s="23" t="n">
        <v>0</v>
      </c>
      <c r="W33" s="23" t="inlineStr">
        <is>
          <t>Happiness</t>
        </is>
      </c>
      <c r="X33" s="23" t="n">
        <v>0.025</v>
      </c>
      <c r="Z33" s="23" t="n">
        <v>0</v>
      </c>
      <c r="AB33" s="23" t="inlineStr">
        <is>
          <t>High health, slight fun loss</t>
        </is>
      </c>
      <c r="AC33" s="23" t="inlineStr">
        <is>
          <t>MVP</t>
        </is>
      </c>
      <c r="AD33" s="23" t="inlineStr">
        <is>
          <t>Eat</t>
        </is>
      </c>
    </row>
    <row r="34" ht="15" customHeight="1" s="24">
      <c r="A34" s="37" t="inlineStr">
        <is>
          <t>A033</t>
        </is>
      </c>
      <c r="B34" s="37" t="inlineStr">
        <is>
          <t>Air One Supermarket</t>
        </is>
      </c>
      <c r="C34" s="37" t="inlineStr">
        <is>
          <t>Work</t>
        </is>
      </c>
      <c r="D34" s="37" t="inlineStr">
        <is>
          <t>Work</t>
        </is>
      </c>
      <c r="E34" s="37" t="inlineStr">
        <is>
          <t>Job assigned at Corporate Soul Exchange</t>
        </is>
      </c>
      <c r="F34" s="37" t="n">
        <v>2</v>
      </c>
      <c r="G34" s="37" t="n">
        <v>0</v>
      </c>
      <c r="H34" s="37">
        <f>ROUND($G34*Settings!$B$3,0)</f>
        <v/>
      </c>
      <c r="I34" s="37">
        <f>ROUND($G34*Settings!$B$4,0)</f>
        <v/>
      </c>
      <c r="J34" s="37">
        <f>ROUND($G34*Settings!$B$5,0)</f>
        <v/>
      </c>
      <c r="K34" s="37" t="inlineStr">
        <is>
          <t>From job tier</t>
        </is>
      </c>
      <c r="L34" s="37" t="n">
        <v>0</v>
      </c>
      <c r="M34" s="37">
        <f>ROUND($L34*Settings!$B$3,0)</f>
        <v/>
      </c>
      <c r="N34" s="37">
        <f>ROUND($L34*Settings!$B$4,0)</f>
        <v/>
      </c>
      <c r="O34" s="37">
        <f>ROUND($L34*Settings!$B$5,0)</f>
        <v/>
      </c>
      <c r="P34" s="37" t="inlineStr">
        <is>
          <t>From job tier</t>
        </is>
      </c>
      <c r="Q34" s="37" t="n">
        <v>0</v>
      </c>
      <c r="R34" s="37">
        <f>ROUND($Q34*Settings!$B$3,0)</f>
        <v/>
      </c>
      <c r="S34" s="37">
        <f>ROUND($Q34*Settings!$B$4,0)</f>
        <v/>
      </c>
      <c r="T34" s="37">
        <f>ROUND($Q34*Settings!$B$5,0)</f>
        <v/>
      </c>
      <c r="U34" s="37" t="n"/>
      <c r="V34" s="37" t="n">
        <v>0</v>
      </c>
      <c r="W34" s="37" t="inlineStr">
        <is>
          <t>Health</t>
        </is>
      </c>
      <c r="X34" s="37" t="n">
        <v>0.02</v>
      </c>
      <c r="Y34" s="37" t="inlineStr">
        <is>
          <t>Happiness</t>
        </is>
      </c>
      <c r="Z34" s="37" t="n">
        <v>0.02</v>
      </c>
      <c r="AA34"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34" s="37" t="inlineStr">
        <is>
          <t>v6 BUG FIX: this row used to grant Money 6%B ($6) and Career 4-6%B on top of the job tier's own pay and Career, which double-counted Career and contradicted the v5 wage table ($40-$400 per click). Both are now zero here.</t>
        </is>
      </c>
      <c r="AC34" s="37" t="inlineStr">
        <is>
          <t>MVP</t>
        </is>
      </c>
      <c r="AD34" s="37" t="inlineStr">
        <is>
          <t>Work</t>
        </is>
      </c>
      <c r="AE34" s="37" t="n"/>
      <c r="AF34" s="37" t="n"/>
      <c r="AG34" s="37" t="n"/>
      <c r="AH34" s="37" t="n">
        <v>1.1</v>
      </c>
      <c r="AI34" s="37" t="inlineStr">
        <is>
          <t>Money/Career now sourced from job tier; building Money Multiplier added</t>
        </is>
      </c>
    </row>
    <row r="35" ht="15" customHeight="1" s="24">
      <c r="A35" s="23" t="inlineStr">
        <is>
          <t>A034</t>
        </is>
      </c>
      <c r="B35" s="23" t="inlineStr">
        <is>
          <t>Regret Burger</t>
        </is>
      </c>
      <c r="C35" s="23" t="inlineStr">
        <is>
          <t>Regret Burger Classic</t>
        </is>
      </c>
      <c r="D35" s="23" t="inlineStr">
        <is>
          <t>Food</t>
        </is>
      </c>
      <c r="E35" s="23" t="inlineStr">
        <is>
          <t>None</t>
        </is>
      </c>
      <c r="F35" s="23" t="n">
        <v>1</v>
      </c>
      <c r="G35" s="23" t="n">
        <v>0.15</v>
      </c>
      <c r="H35" s="23">
        <f>ROUND($G35*Settings!$B$3,0)</f>
        <v/>
      </c>
      <c r="I35" s="23">
        <f>ROUND($G35*Settings!$B$4,0)</f>
        <v/>
      </c>
      <c r="J35" s="23">
        <f>ROUND($G35*Settings!$B$5,0)</f>
        <v/>
      </c>
      <c r="K35" s="23" t="inlineStr">
        <is>
          <t>Happiness</t>
        </is>
      </c>
      <c r="L35" s="23" t="n">
        <v>0.04</v>
      </c>
      <c r="M35" s="23">
        <f>ROUND($L35*Settings!$B$3,0)</f>
        <v/>
      </c>
      <c r="N35" s="23">
        <f>ROUND($L35*Settings!$B$4,0)</f>
        <v/>
      </c>
      <c r="O35" s="23">
        <f>ROUND($L35*Settings!$B$5,0)</f>
        <v/>
      </c>
      <c r="Q35" s="23" t="n">
        <v>0</v>
      </c>
      <c r="R35" s="23">
        <f>ROUND($Q35*Settings!$B$3,0)</f>
        <v/>
      </c>
      <c r="S35" s="23">
        <f>ROUND($Q35*Settings!$B$4,0)</f>
        <v/>
      </c>
      <c r="T35" s="23">
        <f>ROUND($Q35*Settings!$B$5,0)</f>
        <v/>
      </c>
      <c r="V35" s="23" t="n">
        <v>0</v>
      </c>
      <c r="W35" s="23" t="inlineStr">
        <is>
          <t>Health</t>
        </is>
      </c>
      <c r="X35" s="23" t="n">
        <v>0.025</v>
      </c>
      <c r="Z35" s="23" t="n">
        <v>0</v>
      </c>
      <c r="AA35" s="23" t="inlineStr">
        <is>
          <t>Fills hunger</t>
        </is>
      </c>
      <c r="AB35" s="23" t="inlineStr">
        <is>
          <t>v5: repriced to the rebuilt money economy</t>
        </is>
      </c>
      <c r="AC35" s="23" t="inlineStr">
        <is>
          <t>MVP</t>
        </is>
      </c>
      <c r="AD35" s="23" t="inlineStr">
        <is>
          <t>Eat</t>
        </is>
      </c>
    </row>
    <row r="36" ht="15" customHeight="1" s="24">
      <c r="A36" s="23" t="inlineStr">
        <is>
          <t>A035</t>
        </is>
      </c>
      <c r="B36" s="23" t="inlineStr">
        <is>
          <t>Regret Burger</t>
        </is>
      </c>
      <c r="C36" s="23" t="inlineStr">
        <is>
          <t>Double Regret Deluxe</t>
        </is>
      </c>
      <c r="D36" s="23" t="inlineStr">
        <is>
          <t>Food</t>
        </is>
      </c>
      <c r="E36" s="23" t="inlineStr">
        <is>
          <t>None</t>
        </is>
      </c>
      <c r="F36" s="23" t="n">
        <v>1</v>
      </c>
      <c r="G36" s="23" t="n">
        <v>0.22</v>
      </c>
      <c r="H36" s="23">
        <f>ROUND($G36*Settings!$B$3,0)</f>
        <v/>
      </c>
      <c r="I36" s="23">
        <f>ROUND($G36*Settings!$B$4,0)</f>
        <v/>
      </c>
      <c r="J36" s="23">
        <f>ROUND($G36*Settings!$B$5,0)</f>
        <v/>
      </c>
      <c r="K36" s="23" t="inlineStr">
        <is>
          <t>Happiness</t>
        </is>
      </c>
      <c r="L36" s="23" t="n">
        <v>0.07000000000000001</v>
      </c>
      <c r="M36" s="23">
        <f>ROUND($L36*Settings!$B$3,0)</f>
        <v/>
      </c>
      <c r="N36" s="23">
        <f>ROUND($L36*Settings!$B$4,0)</f>
        <v/>
      </c>
      <c r="O36" s="23">
        <f>ROUND($L36*Settings!$B$5,0)</f>
        <v/>
      </c>
      <c r="Q36" s="23" t="n">
        <v>0</v>
      </c>
      <c r="R36" s="23">
        <f>ROUND($Q36*Settings!$B$3,0)</f>
        <v/>
      </c>
      <c r="S36" s="23">
        <f>ROUND($Q36*Settings!$B$4,0)</f>
        <v/>
      </c>
      <c r="T36" s="23">
        <f>ROUND($Q36*Settings!$B$5,0)</f>
        <v/>
      </c>
      <c r="V36" s="23" t="n">
        <v>0</v>
      </c>
      <c r="W36" s="23" t="inlineStr">
        <is>
          <t>Health</t>
        </is>
      </c>
      <c r="X36" s="23" t="n">
        <v>0.05</v>
      </c>
      <c r="Z36" s="23" t="n">
        <v>0</v>
      </c>
      <c r="AA36" s="23" t="inlineStr">
        <is>
          <t>Fills hunger</t>
        </is>
      </c>
      <c r="AB36" s="23" t="inlineStr">
        <is>
          <t>v5: repriced to the rebuilt money economy</t>
        </is>
      </c>
      <c r="AC36" s="23" t="inlineStr">
        <is>
          <t>MVP</t>
        </is>
      </c>
      <c r="AD36" s="23" t="inlineStr">
        <is>
          <t>Eat</t>
        </is>
      </c>
    </row>
    <row r="37" ht="15" customHeight="1" s="24">
      <c r="A37" s="23" t="inlineStr">
        <is>
          <t>A036</t>
        </is>
      </c>
      <c r="B37" s="23" t="inlineStr">
        <is>
          <t>Regret Burger</t>
        </is>
      </c>
      <c r="C37" s="23" t="inlineStr">
        <is>
          <t>Shame Shake</t>
        </is>
      </c>
      <c r="D37" s="23" t="inlineStr">
        <is>
          <t>Food</t>
        </is>
      </c>
      <c r="E37" s="23" t="inlineStr">
        <is>
          <t>None</t>
        </is>
      </c>
      <c r="F37" s="23" t="n">
        <v>1</v>
      </c>
      <c r="G37" s="23" t="n">
        <v>0.18</v>
      </c>
      <c r="H37" s="23">
        <f>ROUND($G37*Settings!$B$3,0)</f>
        <v/>
      </c>
      <c r="I37" s="23">
        <f>ROUND($G37*Settings!$B$4,0)</f>
        <v/>
      </c>
      <c r="J37" s="23">
        <f>ROUND($G37*Settings!$B$5,0)</f>
        <v/>
      </c>
      <c r="K37" s="23" t="inlineStr">
        <is>
          <t>Happiness</t>
        </is>
      </c>
      <c r="L37" s="23" t="n">
        <v>0.05</v>
      </c>
      <c r="M37" s="23">
        <f>ROUND($L37*Settings!$B$3,0)</f>
        <v/>
      </c>
      <c r="N37" s="23">
        <f>ROUND($L37*Settings!$B$4,0)</f>
        <v/>
      </c>
      <c r="O37" s="23">
        <f>ROUND($L37*Settings!$B$5,0)</f>
        <v/>
      </c>
      <c r="Q37" s="23" t="n">
        <v>0</v>
      </c>
      <c r="R37" s="23">
        <f>ROUND($Q37*Settings!$B$3,0)</f>
        <v/>
      </c>
      <c r="S37" s="23">
        <f>ROUND($Q37*Settings!$B$4,0)</f>
        <v/>
      </c>
      <c r="T37" s="23">
        <f>ROUND($Q37*Settings!$B$5,0)</f>
        <v/>
      </c>
      <c r="V37" s="23" t="n">
        <v>0</v>
      </c>
      <c r="W37" s="23" t="inlineStr">
        <is>
          <t>Health</t>
        </is>
      </c>
      <c r="X37" s="23" t="n">
        <v>0.04</v>
      </c>
      <c r="Y37" s="23" t="inlineStr">
        <is>
          <t>Money</t>
        </is>
      </c>
      <c r="Z37" s="23" t="n">
        <v>0.02</v>
      </c>
      <c r="AA37" s="23" t="inlineStr">
        <is>
          <t>Fills hunger</t>
        </is>
      </c>
      <c r="AB37" s="23" t="inlineStr">
        <is>
          <t>v5: repriced to the rebuilt money economy</t>
        </is>
      </c>
      <c r="AC37" s="23" t="inlineStr">
        <is>
          <t>MVP</t>
        </is>
      </c>
      <c r="AD37" s="23" t="inlineStr">
        <is>
          <t>Eat</t>
        </is>
      </c>
    </row>
    <row r="38" ht="15" customHeight="1" s="24">
      <c r="A38" s="23" t="inlineStr">
        <is>
          <t>A037</t>
        </is>
      </c>
      <c r="B38" s="23" t="inlineStr">
        <is>
          <t>Regret Burger</t>
        </is>
      </c>
      <c r="C38" s="23" t="inlineStr">
        <is>
          <t>Doomscroll Fries</t>
        </is>
      </c>
      <c r="D38" s="23" t="inlineStr">
        <is>
          <t>Food</t>
        </is>
      </c>
      <c r="E38" s="23" t="inlineStr">
        <is>
          <t>None</t>
        </is>
      </c>
      <c r="F38" s="23" t="n">
        <v>1</v>
      </c>
      <c r="G38" s="23" t="n">
        <v>0.15</v>
      </c>
      <c r="H38" s="23">
        <f>ROUND($G38*Settings!$B$3,0)</f>
        <v/>
      </c>
      <c r="I38" s="23">
        <f>ROUND($G38*Settings!$B$4,0)</f>
        <v/>
      </c>
      <c r="J38" s="23">
        <f>ROUND($G38*Settings!$B$5,0)</f>
        <v/>
      </c>
      <c r="K38" s="23" t="inlineStr">
        <is>
          <t>Happiness</t>
        </is>
      </c>
      <c r="L38" s="23" t="n">
        <v>0.04</v>
      </c>
      <c r="M38" s="23">
        <f>ROUND($L38*Settings!$B$3,0)</f>
        <v/>
      </c>
      <c r="N38" s="23">
        <f>ROUND($L38*Settings!$B$4,0)</f>
        <v/>
      </c>
      <c r="O38" s="23">
        <f>ROUND($L38*Settings!$B$5,0)</f>
        <v/>
      </c>
      <c r="Q38" s="23" t="n">
        <v>0</v>
      </c>
      <c r="R38" s="23">
        <f>ROUND($Q38*Settings!$B$3,0)</f>
        <v/>
      </c>
      <c r="S38" s="23">
        <f>ROUND($Q38*Settings!$B$4,0)</f>
        <v/>
      </c>
      <c r="T38" s="23">
        <f>ROUND($Q38*Settings!$B$5,0)</f>
        <v/>
      </c>
      <c r="V38" s="23" t="n">
        <v>0</v>
      </c>
      <c r="W38" s="23" t="inlineStr">
        <is>
          <t>Health</t>
        </is>
      </c>
      <c r="X38" s="23" t="n">
        <v>0.03</v>
      </c>
      <c r="Y38" s="23" t="inlineStr">
        <is>
          <t>Critical Thinking</t>
        </is>
      </c>
      <c r="Z38" s="23" t="n">
        <v>0.025</v>
      </c>
      <c r="AA38" s="23" t="inlineStr">
        <is>
          <t>Fills hunger</t>
        </is>
      </c>
      <c r="AB38" s="23" t="inlineStr">
        <is>
          <t>v5: repriced to the rebuilt money economy</t>
        </is>
      </c>
      <c r="AC38" s="23" t="inlineStr">
        <is>
          <t>MVP</t>
        </is>
      </c>
      <c r="AD38" s="23" t="inlineStr">
        <is>
          <t>Eat</t>
        </is>
      </c>
    </row>
    <row r="39" ht="15" customHeight="1" s="24">
      <c r="A39" s="23" t="inlineStr">
        <is>
          <t>A038</t>
        </is>
      </c>
      <c r="B39" s="23" t="inlineStr">
        <is>
          <t>Regret Burger</t>
        </is>
      </c>
      <c r="C39" s="23" t="inlineStr">
        <is>
          <t>Emotional Support Nuggets</t>
        </is>
      </c>
      <c r="D39" s="23" t="inlineStr">
        <is>
          <t>Food</t>
        </is>
      </c>
      <c r="E39" s="23" t="inlineStr">
        <is>
          <t>None</t>
        </is>
      </c>
      <c r="F39" s="23" t="n">
        <v>1</v>
      </c>
      <c r="G39" s="23" t="n">
        <v>0.2</v>
      </c>
      <c r="H39" s="23">
        <f>ROUND($G39*Settings!$B$3,0)</f>
        <v/>
      </c>
      <c r="I39" s="23">
        <f>ROUND($G39*Settings!$B$4,0)</f>
        <v/>
      </c>
      <c r="J39" s="23">
        <f>ROUND($G39*Settings!$B$5,0)</f>
        <v/>
      </c>
      <c r="K39" s="23" t="inlineStr">
        <is>
          <t>Happiness</t>
        </is>
      </c>
      <c r="L39" s="23" t="n">
        <v>0.06</v>
      </c>
      <c r="M39" s="23">
        <f>ROUND($L39*Settings!$B$3,0)</f>
        <v/>
      </c>
      <c r="N39" s="23">
        <f>ROUND($L39*Settings!$B$4,0)</f>
        <v/>
      </c>
      <c r="O39" s="23">
        <f>ROUND($L39*Settings!$B$5,0)</f>
        <v/>
      </c>
      <c r="Q39" s="23" t="n">
        <v>0</v>
      </c>
      <c r="R39" s="23">
        <f>ROUND($Q39*Settings!$B$3,0)</f>
        <v/>
      </c>
      <c r="S39" s="23">
        <f>ROUND($Q39*Settings!$B$4,0)</f>
        <v/>
      </c>
      <c r="T39" s="23">
        <f>ROUND($Q39*Settings!$B$5,0)</f>
        <v/>
      </c>
      <c r="V39" s="23" t="n">
        <v>0</v>
      </c>
      <c r="W39" s="23" t="inlineStr">
        <is>
          <t>Health</t>
        </is>
      </c>
      <c r="X39" s="23" t="n">
        <v>0.04</v>
      </c>
      <c r="Z39" s="23" t="n">
        <v>0</v>
      </c>
      <c r="AA39" s="23" t="inlineStr">
        <is>
          <t>Fills hunger</t>
        </is>
      </c>
      <c r="AB39" s="23" t="inlineStr">
        <is>
          <t>v5: repriced to the rebuilt money economy</t>
        </is>
      </c>
      <c r="AC39" s="23" t="inlineStr">
        <is>
          <t>MVP</t>
        </is>
      </c>
      <c r="AD39" s="23" t="inlineStr">
        <is>
          <t>Eat</t>
        </is>
      </c>
    </row>
    <row r="40" ht="15" customHeight="1" s="24">
      <c r="A40" s="23" t="inlineStr">
        <is>
          <t>A039</t>
        </is>
      </c>
      <c r="B40" s="23" t="inlineStr">
        <is>
          <t>Regret Burger</t>
        </is>
      </c>
      <c r="C40" s="23" t="inlineStr">
        <is>
          <t>Coupon Meal</t>
        </is>
      </c>
      <c r="D40" s="23" t="inlineStr">
        <is>
          <t>Food</t>
        </is>
      </c>
      <c r="E40" s="23" t="inlineStr">
        <is>
          <t>None</t>
        </is>
      </c>
      <c r="F40" s="23" t="n">
        <v>1</v>
      </c>
      <c r="G40" s="23" t="n">
        <v>0.08</v>
      </c>
      <c r="H40" s="23">
        <f>ROUND($G40*Settings!$B$3,0)</f>
        <v/>
      </c>
      <c r="I40" s="23">
        <f>ROUND($G40*Settings!$B$4,0)</f>
        <v/>
      </c>
      <c r="J40" s="23">
        <f>ROUND($G40*Settings!$B$5,0)</f>
        <v/>
      </c>
      <c r="K40" s="23" t="inlineStr">
        <is>
          <t>Happiness</t>
        </is>
      </c>
      <c r="L40" s="23" t="n">
        <v>0.025</v>
      </c>
      <c r="M40" s="23">
        <f>ROUND($L40*Settings!$B$3,0)</f>
        <v/>
      </c>
      <c r="N40" s="23">
        <f>ROUND($L40*Settings!$B$4,0)</f>
        <v/>
      </c>
      <c r="O40" s="23">
        <f>ROUND($L40*Settings!$B$5,0)</f>
        <v/>
      </c>
      <c r="Q40" s="23" t="n">
        <v>0</v>
      </c>
      <c r="R40" s="23">
        <f>ROUND($Q40*Settings!$B$3,0)</f>
        <v/>
      </c>
      <c r="S40" s="23">
        <f>ROUND($Q40*Settings!$B$4,0)</f>
        <v/>
      </c>
      <c r="T40" s="23">
        <f>ROUND($Q40*Settings!$B$5,0)</f>
        <v/>
      </c>
      <c r="V40" s="23" t="n">
        <v>0</v>
      </c>
      <c r="W40" s="23" t="inlineStr">
        <is>
          <t>Health</t>
        </is>
      </c>
      <c r="X40" s="23" t="n">
        <v>0.035</v>
      </c>
      <c r="Z40" s="23" t="n">
        <v>0</v>
      </c>
      <c r="AA40" s="23" t="inlineStr">
        <is>
          <t>Fills hunger</t>
        </is>
      </c>
      <c r="AB40" s="23" t="inlineStr">
        <is>
          <t>v5: repriced to the rebuilt money economy</t>
        </is>
      </c>
      <c r="AC40" s="23" t="inlineStr">
        <is>
          <t>MVP</t>
        </is>
      </c>
      <c r="AD40" s="23" t="inlineStr">
        <is>
          <t>Eat</t>
        </is>
      </c>
    </row>
    <row r="41" ht="15" customHeight="1" s="24">
      <c r="A41" s="23" t="inlineStr">
        <is>
          <t>A040</t>
        </is>
      </c>
      <c r="B41" s="23" t="inlineStr">
        <is>
          <t>Regret Burger</t>
        </is>
      </c>
      <c r="C41" s="23" t="inlineStr">
        <is>
          <t>Late Night Drive Thru</t>
        </is>
      </c>
      <c r="D41" s="23" t="inlineStr">
        <is>
          <t>Food</t>
        </is>
      </c>
      <c r="E41" s="23" t="inlineStr">
        <is>
          <t>None</t>
        </is>
      </c>
      <c r="F41" s="23" t="n">
        <v>1</v>
      </c>
      <c r="G41" s="23" t="n">
        <v>0.25</v>
      </c>
      <c r="H41" s="23">
        <f>ROUND($G41*Settings!$B$3,0)</f>
        <v/>
      </c>
      <c r="I41" s="23">
        <f>ROUND($G41*Settings!$B$4,0)</f>
        <v/>
      </c>
      <c r="J41" s="23">
        <f>ROUND($G41*Settings!$B$5,0)</f>
        <v/>
      </c>
      <c r="K41" s="23" t="inlineStr">
        <is>
          <t>Happiness</t>
        </is>
      </c>
      <c r="L41" s="23" t="n">
        <v>0.08</v>
      </c>
      <c r="M41" s="23">
        <f>ROUND($L41*Settings!$B$3,0)</f>
        <v/>
      </c>
      <c r="N41" s="23">
        <f>ROUND($L41*Settings!$B$4,0)</f>
        <v/>
      </c>
      <c r="O41" s="23">
        <f>ROUND($L41*Settings!$B$5,0)</f>
        <v/>
      </c>
      <c r="Q41" s="23" t="n">
        <v>0</v>
      </c>
      <c r="R41" s="23">
        <f>ROUND($Q41*Settings!$B$3,0)</f>
        <v/>
      </c>
      <c r="S41" s="23">
        <f>ROUND($Q41*Settings!$B$4,0)</f>
        <v/>
      </c>
      <c r="T41" s="23">
        <f>ROUND($Q41*Settings!$B$5,0)</f>
        <v/>
      </c>
      <c r="V41" s="23" t="n">
        <v>0</v>
      </c>
      <c r="W41" s="23" t="inlineStr">
        <is>
          <t>Health</t>
        </is>
      </c>
      <c r="X41" s="23" t="n">
        <v>0.06</v>
      </c>
      <c r="Z41" s="23" t="n">
        <v>0</v>
      </c>
      <c r="AA41" s="23" t="inlineStr">
        <is>
          <t>Fills hunger</t>
        </is>
      </c>
      <c r="AB41" s="23" t="inlineStr">
        <is>
          <t>v5: repriced to the rebuilt money economy</t>
        </is>
      </c>
      <c r="AC41" s="23" t="inlineStr">
        <is>
          <t>MVP</t>
        </is>
      </c>
      <c r="AD41" s="23" t="inlineStr">
        <is>
          <t>Eat</t>
        </is>
      </c>
    </row>
    <row r="42" ht="15" customHeight="1" s="24">
      <c r="A42" s="37" t="inlineStr">
        <is>
          <t>A041</t>
        </is>
      </c>
      <c r="B42" s="37" t="inlineStr">
        <is>
          <t>Regret Burger</t>
        </is>
      </c>
      <c r="C42" s="37" t="inlineStr">
        <is>
          <t>Work</t>
        </is>
      </c>
      <c r="D42" s="37" t="inlineStr">
        <is>
          <t>Work</t>
        </is>
      </c>
      <c r="E42" s="37" t="inlineStr">
        <is>
          <t>Job assigned at Corporate Soul Exchange</t>
        </is>
      </c>
      <c r="F42" s="37" t="n">
        <v>2</v>
      </c>
      <c r="G42" s="37" t="n">
        <v>0</v>
      </c>
      <c r="H42" s="37">
        <f>ROUND($G42*Settings!$B$3,0)</f>
        <v/>
      </c>
      <c r="I42" s="37">
        <f>ROUND($G42*Settings!$B$4,0)</f>
        <v/>
      </c>
      <c r="J42" s="37">
        <f>ROUND($G42*Settings!$B$5,0)</f>
        <v/>
      </c>
      <c r="K42" s="37" t="inlineStr">
        <is>
          <t>From job tier</t>
        </is>
      </c>
      <c r="L42" s="37" t="n">
        <v>0</v>
      </c>
      <c r="M42" s="37">
        <f>ROUND($L42*Settings!$B$3,0)</f>
        <v/>
      </c>
      <c r="N42" s="37">
        <f>ROUND($L42*Settings!$B$4,0)</f>
        <v/>
      </c>
      <c r="O42" s="37">
        <f>ROUND($L42*Settings!$B$5,0)</f>
        <v/>
      </c>
      <c r="P42" s="37" t="inlineStr">
        <is>
          <t>From job tier</t>
        </is>
      </c>
      <c r="Q42" s="37" t="n">
        <v>0</v>
      </c>
      <c r="R42" s="37">
        <f>ROUND($Q42*Settings!$B$3,0)</f>
        <v/>
      </c>
      <c r="S42" s="37">
        <f>ROUND($Q42*Settings!$B$4,0)</f>
        <v/>
      </c>
      <c r="T42" s="37">
        <f>ROUND($Q42*Settings!$B$5,0)</f>
        <v/>
      </c>
      <c r="U42" s="37" t="n"/>
      <c r="V42" s="37" t="n">
        <v>0</v>
      </c>
      <c r="W42" s="37" t="inlineStr">
        <is>
          <t>Health</t>
        </is>
      </c>
      <c r="X42" s="37" t="n">
        <v>0.025</v>
      </c>
      <c r="Y42" s="37" t="inlineStr">
        <is>
          <t>Happiness</t>
        </is>
      </c>
      <c r="Z42" s="37" t="n">
        <v>0.025</v>
      </c>
      <c r="AA42"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42" s="37" t="inlineStr">
        <is>
          <t>v6 BUG FIX: this row used to grant Money 6%B ($6) and Career 4-6%B on top of the job tier's own pay and Career, which double-counted Career and contradicted the v5 wage table ($40-$400 per click). Both are now zero here.</t>
        </is>
      </c>
      <c r="AC42" s="37" t="inlineStr">
        <is>
          <t>MVP</t>
        </is>
      </c>
      <c r="AD42" s="37" t="inlineStr">
        <is>
          <t>Work</t>
        </is>
      </c>
      <c r="AE42" s="37" t="n"/>
      <c r="AF42" s="37" t="n"/>
      <c r="AG42" s="37" t="n"/>
      <c r="AH42" s="37" t="n">
        <v>1.1</v>
      </c>
      <c r="AI42" s="37" t="inlineStr">
        <is>
          <t>Money/Career now sourced from job tier; building Money Multiplier added</t>
        </is>
      </c>
    </row>
    <row r="43" ht="15" customHeight="1" s="24">
      <c r="A43" s="37" t="inlineStr">
        <is>
          <t>A042</t>
        </is>
      </c>
      <c r="B43" s="37" t="inlineStr">
        <is>
          <t>Bro Science Gym</t>
        </is>
      </c>
      <c r="C43" s="37" t="inlineStr">
        <is>
          <t>Cardio Session</t>
        </is>
      </c>
      <c r="D43" s="37" t="inlineStr">
        <is>
          <t>Health</t>
        </is>
      </c>
      <c r="E43" s="37" t="inlineStr">
        <is>
          <t>None</t>
        </is>
      </c>
      <c r="F43" s="37" t="n">
        <v>1</v>
      </c>
      <c r="G43" s="37" t="n">
        <v>0.05</v>
      </c>
      <c r="H43" s="37">
        <f>ROUND($G43*Settings!$B$3,0)</f>
        <v/>
      </c>
      <c r="I43" s="37">
        <f>ROUND($G43*Settings!$B$4,0)</f>
        <v/>
      </c>
      <c r="J43" s="37">
        <f>ROUND($G43*Settings!$B$5,0)</f>
        <v/>
      </c>
      <c r="K43" s="37" t="inlineStr">
        <is>
          <t>Health</t>
        </is>
      </c>
      <c r="L43" s="37" t="n">
        <v>0.06</v>
      </c>
      <c r="M43" s="37">
        <f>ROUND($L43*Settings!$B$3,0)</f>
        <v/>
      </c>
      <c r="N43" s="37">
        <f>ROUND($L43*Settings!$B$4,0)</f>
        <v/>
      </c>
      <c r="O43" s="37">
        <f>ROUND($L43*Settings!$B$5,0)</f>
        <v/>
      </c>
      <c r="P43" s="37" t="inlineStr">
        <is>
          <t>Connection</t>
        </is>
      </c>
      <c r="Q43" s="37" t="n">
        <v>0.02</v>
      </c>
      <c r="R43" s="37">
        <f>ROUND($Q43*Settings!$B$3,0)</f>
        <v/>
      </c>
      <c r="S43" s="37">
        <f>ROUND($Q43*Settings!$B$4,0)</f>
        <v/>
      </c>
      <c r="T43" s="37">
        <f>ROUND($Q43*Settings!$B$5,0)</f>
        <v/>
      </c>
      <c r="U43" s="37" t="n"/>
      <c r="V43" s="37" t="n">
        <v>0</v>
      </c>
      <c r="W43" s="37" t="n"/>
      <c r="X43" s="37" t="n"/>
      <c r="Y43" s="37" t="n"/>
      <c r="Z43" s="37" t="n">
        <v>0</v>
      </c>
      <c r="AA43" s="37" t="n"/>
      <c r="AB43" s="37" t="inlineStr">
        <is>
          <t>Standard health action | v6.1: restored the v5.1 price that matches the painted menu ($5).</t>
        </is>
      </c>
      <c r="AC43" s="37" t="inlineStr">
        <is>
          <t>MVP</t>
        </is>
      </c>
      <c r="AD43" s="37" t="n"/>
      <c r="AE43" s="37" t="n"/>
      <c r="AF43" s="37" t="n"/>
      <c r="AG43" s="37" t="n"/>
      <c r="AH43" s="37" t="n"/>
      <c r="AI43" s="37" t="inlineStr">
        <is>
          <t>Health 0.05 -&gt; 0.06; +Connection 2%B (you talk to people at the gym)</t>
        </is>
      </c>
    </row>
    <row r="44" ht="15" customHeight="1" s="24">
      <c r="A44" s="37" t="inlineStr">
        <is>
          <t>A043</t>
        </is>
      </c>
      <c r="B44" s="37" t="inlineStr">
        <is>
          <t>Bro Science Gym</t>
        </is>
      </c>
      <c r="C44" s="37" t="inlineStr">
        <is>
          <t>Chest Day</t>
        </is>
      </c>
      <c r="D44" s="37" t="inlineStr">
        <is>
          <t>Health</t>
        </is>
      </c>
      <c r="E44" s="37" t="inlineStr">
        <is>
          <t>None</t>
        </is>
      </c>
      <c r="F44" s="37" t="n">
        <v>1</v>
      </c>
      <c r="G44" s="37" t="n">
        <v>0.1</v>
      </c>
      <c r="H44" s="37">
        <f>ROUND($G44*Settings!$B$3,0)</f>
        <v/>
      </c>
      <c r="I44" s="37">
        <f>ROUND($G44*Settings!$B$4,0)</f>
        <v/>
      </c>
      <c r="J44" s="37">
        <f>ROUND($G44*Settings!$B$5,0)</f>
        <v/>
      </c>
      <c r="K44" s="37" t="inlineStr">
        <is>
          <t>Health</t>
        </is>
      </c>
      <c r="L44" s="37" t="n">
        <v>0.05</v>
      </c>
      <c r="M44" s="37">
        <f>ROUND($L44*Settings!$B$3,0)</f>
        <v/>
      </c>
      <c r="N44" s="37">
        <f>ROUND($L44*Settings!$B$4,0)</f>
        <v/>
      </c>
      <c r="O44" s="37">
        <f>ROUND($L44*Settings!$B$5,0)</f>
        <v/>
      </c>
      <c r="P44" s="37" t="inlineStr">
        <is>
          <t>Coolness Factor</t>
        </is>
      </c>
      <c r="Q44" s="37" t="n">
        <v>0.03</v>
      </c>
      <c r="R44" s="37">
        <f>ROUND($Q44*Settings!$B$3,0)</f>
        <v/>
      </c>
      <c r="S44" s="37">
        <f>ROUND($Q44*Settings!$B$4,0)</f>
        <v/>
      </c>
      <c r="T44" s="37">
        <f>ROUND($Q44*Settings!$B$5,0)</f>
        <v/>
      </c>
      <c r="U44" s="37" t="n"/>
      <c r="V44" s="37" t="n">
        <v>0</v>
      </c>
      <c r="W44" s="37" t="inlineStr">
        <is>
          <t>None</t>
        </is>
      </c>
      <c r="X44" s="37" t="n">
        <v>0</v>
      </c>
      <c r="Y44" s="37" t="n"/>
      <c r="Z44" s="37" t="n">
        <v>0</v>
      </c>
      <c r="AA44" s="37" t="n"/>
      <c r="AB44" s="37" t="inlineStr">
        <is>
          <t>v6: the old -2%B Happiness penalty is replaced by a flat Happiness +1 and Enlightenment -1. Flat points, applied after the percentage gains, not scaled by B and not modified by personality. | v6.1: restored the v5.1 price that matches the painted menu ($10).</t>
        </is>
      </c>
      <c r="AC44" s="37" t="inlineStr">
        <is>
          <t>MVP</t>
        </is>
      </c>
      <c r="AD44" s="37" t="n"/>
      <c r="AE44" s="37" t="n"/>
      <c r="AF44" s="37" t="n"/>
      <c r="AG44" s="37" t="inlineStr">
        <is>
          <t>Happiness +1, Enlightenment -1</t>
        </is>
      </c>
      <c r="AH44" s="37" t="n"/>
      <c r="AI44" s="37" t="inlineStr">
        <is>
          <t>Happiness penalty replaced by flat Happiness +1 / Enlightenment -1</t>
        </is>
      </c>
    </row>
    <row r="45" ht="15" customHeight="1" s="24">
      <c r="A45" s="37" t="inlineStr">
        <is>
          <t>A044</t>
        </is>
      </c>
      <c r="B45" s="37" t="inlineStr">
        <is>
          <t>Bro Science Gym</t>
        </is>
      </c>
      <c r="C45" s="37" t="inlineStr">
        <is>
          <t>Treninator Bootcamp</t>
        </is>
      </c>
      <c r="D45" s="37" t="inlineStr">
        <is>
          <t>Health</t>
        </is>
      </c>
      <c r="E45" s="37" t="inlineStr">
        <is>
          <t>None</t>
        </is>
      </c>
      <c r="F45" s="37" t="n">
        <v>2</v>
      </c>
      <c r="G45" s="37" t="n">
        <v>0.25</v>
      </c>
      <c r="H45" s="37">
        <f>ROUND($G45*Settings!$B$3,0)</f>
        <v/>
      </c>
      <c r="I45" s="37">
        <f>ROUND($G45*Settings!$B$4,0)</f>
        <v/>
      </c>
      <c r="J45" s="37">
        <f>ROUND($G45*Settings!$B$5,0)</f>
        <v/>
      </c>
      <c r="K45" s="37" t="inlineStr">
        <is>
          <t>Health</t>
        </is>
      </c>
      <c r="L45" s="37" t="n">
        <v>0.12</v>
      </c>
      <c r="M45" s="37">
        <f>ROUND($L45*Settings!$B$3,0)</f>
        <v/>
      </c>
      <c r="N45" s="37">
        <f>ROUND($L45*Settings!$B$4,0)</f>
        <v/>
      </c>
      <c r="O45" s="37">
        <f>ROUND($L45*Settings!$B$5,0)</f>
        <v/>
      </c>
      <c r="P45" s="37" t="inlineStr">
        <is>
          <t>Connection</t>
        </is>
      </c>
      <c r="Q45" s="37" t="n">
        <v>0.03</v>
      </c>
      <c r="R45" s="37">
        <f>ROUND($Q45*Settings!$B$3,0)</f>
        <v/>
      </c>
      <c r="S45" s="37">
        <f>ROUND($Q45*Settings!$B$4,0)</f>
        <v/>
      </c>
      <c r="T45" s="37">
        <f>ROUND($Q45*Settings!$B$5,0)</f>
        <v/>
      </c>
      <c r="U45" s="37" t="n"/>
      <c r="V45" s="37" t="n">
        <v>0</v>
      </c>
      <c r="W45" s="37" t="inlineStr">
        <is>
          <t>Happiness</t>
        </is>
      </c>
      <c r="X45" s="37" t="n">
        <v>0.025</v>
      </c>
      <c r="Y45" s="37" t="n"/>
      <c r="Z45" s="37" t="n">
        <v>0</v>
      </c>
      <c r="AA45" s="37" t="n"/>
      <c r="AB45" s="37" t="inlineStr">
        <is>
          <t>Strong health route | v6.1: restored the v5.1 price that matches the painted menu ($25).</t>
        </is>
      </c>
      <c r="AC45" s="37" t="inlineStr">
        <is>
          <t>MVP</t>
        </is>
      </c>
      <c r="AD45" s="37" t="n"/>
      <c r="AE45" s="37" t="n"/>
      <c r="AF45" s="37" t="n"/>
      <c r="AG45" s="37" t="n"/>
      <c r="AH45" s="37" t="n"/>
      <c r="AI45" s="37" t="inlineStr">
        <is>
          <t>Health 0.10 -&gt; 0.12; +Connection 3%B</t>
        </is>
      </c>
    </row>
    <row r="46" ht="15" customHeight="1" s="24">
      <c r="A46" s="23" t="inlineStr">
        <is>
          <t>A045</t>
        </is>
      </c>
      <c r="B46" s="23" t="inlineStr">
        <is>
          <t>Bro Science Gym</t>
        </is>
      </c>
      <c r="C46" s="23" t="inlineStr">
        <is>
          <t>Buy Suspicious Test Booster</t>
        </is>
      </c>
      <c r="D46" s="23" t="inlineStr">
        <is>
          <t>Shopping</t>
        </is>
      </c>
      <c r="E46" s="23" t="inlineStr">
        <is>
          <t>None</t>
        </is>
      </c>
      <c r="F46" s="23" t="n">
        <v>1</v>
      </c>
      <c r="G46" s="23" t="n">
        <v>0.4</v>
      </c>
      <c r="H46" s="23">
        <f>ROUND($G46*Settings!$B$3,0)</f>
        <v/>
      </c>
      <c r="I46" s="23">
        <f>ROUND($G46*Settings!$B$4,0)</f>
        <v/>
      </c>
      <c r="J46" s="23">
        <f>ROUND($G46*Settings!$B$5,0)</f>
        <v/>
      </c>
      <c r="K46" s="23" t="inlineStr">
        <is>
          <t>Health</t>
        </is>
      </c>
      <c r="L46" s="23" t="n">
        <v>0.08</v>
      </c>
      <c r="M46" s="23">
        <f>ROUND($L46*Settings!$B$3,0)</f>
        <v/>
      </c>
      <c r="N46" s="23">
        <f>ROUND($L46*Settings!$B$4,0)</f>
        <v/>
      </c>
      <c r="O46" s="23">
        <f>ROUND($L46*Settings!$B$5,0)</f>
        <v/>
      </c>
      <c r="P46" s="23" t="inlineStr">
        <is>
          <t>Coolness Factor</t>
        </is>
      </c>
      <c r="Q46" s="23" t="n">
        <v>0.05</v>
      </c>
      <c r="R46" s="23">
        <f>ROUND($Q46*Settings!$B$3,0)</f>
        <v/>
      </c>
      <c r="S46" s="23">
        <f>ROUND($Q46*Settings!$B$4,0)</f>
        <v/>
      </c>
      <c r="T46" s="23">
        <f>ROUND($Q46*Settings!$B$5,0)</f>
        <v/>
      </c>
      <c r="V46" s="23" t="n">
        <v>0</v>
      </c>
      <c r="W46" s="23" t="inlineStr">
        <is>
          <t>Happiness</t>
        </is>
      </c>
      <c r="X46" s="23" t="n">
        <v>0.04</v>
      </c>
      <c r="Z46" s="23" t="n">
        <v>0</v>
      </c>
      <c r="AB46" s="23" t="inlineStr">
        <is>
          <t>Powerful, dumb | v6.1: restored the v5.1 price that matches the painted menu ($40).</t>
        </is>
      </c>
      <c r="AC46" s="23" t="inlineStr">
        <is>
          <t>MVP</t>
        </is>
      </c>
    </row>
    <row r="47" ht="15" customHeight="1" s="24">
      <c r="A47" s="23" t="inlineStr">
        <is>
          <t>A046</t>
        </is>
      </c>
      <c r="B47" s="23" t="inlineStr">
        <is>
          <t>Bro Science Gym</t>
        </is>
      </c>
      <c r="C47" s="23" t="inlineStr">
        <is>
          <t>Flex in Mirror</t>
        </is>
      </c>
      <c r="D47" s="23" t="inlineStr">
        <is>
          <t>Coolness</t>
        </is>
      </c>
      <c r="E47" s="23" t="inlineStr">
        <is>
          <t>None</t>
        </is>
      </c>
      <c r="F47" s="23" t="n">
        <v>1</v>
      </c>
      <c r="G47" s="23" t="n">
        <v>0</v>
      </c>
      <c r="H47" s="23">
        <f>ROUND($G47*Settings!$B$3,0)</f>
        <v/>
      </c>
      <c r="I47" s="23">
        <f>ROUND($G47*Settings!$B$4,0)</f>
        <v/>
      </c>
      <c r="J47" s="23">
        <f>ROUND($G47*Settings!$B$5,0)</f>
        <v/>
      </c>
      <c r="K47" s="23" t="inlineStr">
        <is>
          <t>Coolness Factor</t>
        </is>
      </c>
      <c r="L47" s="23" t="n">
        <v>0.05</v>
      </c>
      <c r="M47" s="23">
        <f>ROUND($L47*Settings!$B$3,0)</f>
        <v/>
      </c>
      <c r="N47" s="23">
        <f>ROUND($L47*Settings!$B$4,0)</f>
        <v/>
      </c>
      <c r="O47" s="23">
        <f>ROUND($L47*Settings!$B$5,0)</f>
        <v/>
      </c>
      <c r="P47" s="23" t="inlineStr">
        <is>
          <t>Happiness</t>
        </is>
      </c>
      <c r="Q47" s="23" t="n">
        <v>0.025</v>
      </c>
      <c r="R47" s="23">
        <f>ROUND($Q47*Settings!$B$3,0)</f>
        <v/>
      </c>
      <c r="S47" s="23">
        <f>ROUND($Q47*Settings!$B$4,0)</f>
        <v/>
      </c>
      <c r="T47" s="23">
        <f>ROUND($Q47*Settings!$B$5,0)</f>
        <v/>
      </c>
      <c r="V47" s="23" t="n">
        <v>0</v>
      </c>
      <c r="Z47" s="23" t="n">
        <v>0</v>
      </c>
      <c r="AB47" s="23" t="inlineStr">
        <is>
          <t>Free coolness</t>
        </is>
      </c>
      <c r="AC47" s="23" t="inlineStr">
        <is>
          <t>MVP</t>
        </is>
      </c>
    </row>
    <row r="48" ht="15" customHeight="1" s="24">
      <c r="A48" s="23" t="inlineStr">
        <is>
          <t>A047</t>
        </is>
      </c>
      <c r="B48" s="23" t="inlineStr">
        <is>
          <t>Bro Science Gym</t>
        </is>
      </c>
      <c r="C48" s="23" t="inlineStr">
        <is>
          <t>Skip Leg Day</t>
        </is>
      </c>
      <c r="D48" s="23" t="inlineStr">
        <is>
          <t>Coolness</t>
        </is>
      </c>
      <c r="E48" s="23" t="inlineStr">
        <is>
          <t>None</t>
        </is>
      </c>
      <c r="F48" s="23" t="n">
        <v>1</v>
      </c>
      <c r="G48" s="23" t="n">
        <v>0</v>
      </c>
      <c r="H48" s="23">
        <f>ROUND($G48*Settings!$B$3,0)</f>
        <v/>
      </c>
      <c r="I48" s="23">
        <f>ROUND($G48*Settings!$B$4,0)</f>
        <v/>
      </c>
      <c r="J48" s="23">
        <f>ROUND($G48*Settings!$B$5,0)</f>
        <v/>
      </c>
      <c r="K48" s="23" t="inlineStr">
        <is>
          <t>Coolness Factor</t>
        </is>
      </c>
      <c r="L48" s="23" t="n">
        <v>0.04</v>
      </c>
      <c r="M48" s="23">
        <f>ROUND($L48*Settings!$B$3,0)</f>
        <v/>
      </c>
      <c r="N48" s="23">
        <f>ROUND($L48*Settings!$B$4,0)</f>
        <v/>
      </c>
      <c r="O48" s="23">
        <f>ROUND($L48*Settings!$B$5,0)</f>
        <v/>
      </c>
      <c r="Q48" s="23" t="n">
        <v>0</v>
      </c>
      <c r="R48" s="23">
        <f>ROUND($Q48*Settings!$B$3,0)</f>
        <v/>
      </c>
      <c r="S48" s="23">
        <f>ROUND($Q48*Settings!$B$4,0)</f>
        <v/>
      </c>
      <c r="T48" s="23">
        <f>ROUND($Q48*Settings!$B$5,0)</f>
        <v/>
      </c>
      <c r="V48" s="23" t="n">
        <v>0</v>
      </c>
      <c r="W48" s="23" t="inlineStr">
        <is>
          <t>Health</t>
        </is>
      </c>
      <c r="X48" s="23" t="n">
        <v>0.025</v>
      </c>
      <c r="Z48" s="23" t="n">
        <v>0</v>
      </c>
      <c r="AB48" s="23" t="inlineStr">
        <is>
          <t>Joke tradeoff</t>
        </is>
      </c>
      <c r="AC48" s="23" t="inlineStr">
        <is>
          <t>MVP</t>
        </is>
      </c>
    </row>
    <row r="49" ht="15" customHeight="1" s="24">
      <c r="A49" s="37" t="inlineStr">
        <is>
          <t>A048</t>
        </is>
      </c>
      <c r="B49" s="37" t="inlineStr">
        <is>
          <t>Bro Science Gym</t>
        </is>
      </c>
      <c r="C49" s="37" t="inlineStr">
        <is>
          <t>Personal Best Challenge</t>
        </is>
      </c>
      <c r="D49" s="37" t="inlineStr">
        <is>
          <t>Health</t>
        </is>
      </c>
      <c r="E49" s="37" t="inlineStr">
        <is>
          <t>None</t>
        </is>
      </c>
      <c r="F49" s="37" t="n">
        <v>2</v>
      </c>
      <c r="G49" s="37" t="n">
        <v>0.15</v>
      </c>
      <c r="H49" s="37">
        <f>ROUND($G49*Settings!$B$3,0)</f>
        <v/>
      </c>
      <c r="I49" s="37">
        <f>ROUND($G49*Settings!$B$4,0)</f>
        <v/>
      </c>
      <c r="J49" s="37">
        <f>ROUND($G49*Settings!$B$5,0)</f>
        <v/>
      </c>
      <c r="K49" s="37" t="inlineStr">
        <is>
          <t>Health</t>
        </is>
      </c>
      <c r="L49" s="37" t="n">
        <v>0.1</v>
      </c>
      <c r="M49" s="37">
        <f>ROUND($L49*Settings!$B$3,0)</f>
        <v/>
      </c>
      <c r="N49" s="37">
        <f>ROUND($L49*Settings!$B$4,0)</f>
        <v/>
      </c>
      <c r="O49" s="37">
        <f>ROUND($L49*Settings!$B$5,0)</f>
        <v/>
      </c>
      <c r="P49" s="37" t="inlineStr">
        <is>
          <t>Coolness Factor</t>
        </is>
      </c>
      <c r="Q49" s="37" t="n">
        <v>0.04</v>
      </c>
      <c r="R49" s="37">
        <f>ROUND($Q49*Settings!$B$3,0)</f>
        <v/>
      </c>
      <c r="S49" s="37">
        <f>ROUND($Q49*Settings!$B$4,0)</f>
        <v/>
      </c>
      <c r="T49" s="37">
        <f>ROUND($Q49*Settings!$B$5,0)</f>
        <v/>
      </c>
      <c r="U49" s="37" t="n"/>
      <c r="V49" s="37" t="n">
        <v>0</v>
      </c>
      <c r="W49" s="37" t="inlineStr">
        <is>
          <t>Happiness</t>
        </is>
      </c>
      <c r="X49" s="37" t="n">
        <v>0.03</v>
      </c>
      <c r="Y49" s="37" t="n"/>
      <c r="Z49" s="37" t="n">
        <v>0</v>
      </c>
      <c r="AA49" s="37" t="n"/>
      <c r="AB49" s="37" t="inlineStr">
        <is>
          <t>Strong but tiring | v6.1: restored the v5.1 price that matches the painted menu ($15).</t>
        </is>
      </c>
      <c r="AC49" s="37" t="inlineStr">
        <is>
          <t>MVP</t>
        </is>
      </c>
      <c r="AD49" s="37" t="n"/>
      <c r="AE49" s="37" t="n"/>
      <c r="AF49" s="37" t="n"/>
      <c r="AG49" s="37" t="inlineStr">
        <is>
          <t>Connection +1</t>
        </is>
      </c>
      <c r="AH49" s="37" t="n"/>
      <c r="AI49" s="37" t="inlineStr">
        <is>
          <t>Health 0.08 -&gt; 0.10; flat Connection +1 (someone spots you)</t>
        </is>
      </c>
    </row>
    <row r="50" ht="15" customHeight="1" s="24">
      <c r="A50" s="37" t="inlineStr">
        <is>
          <t>A049</t>
        </is>
      </c>
      <c r="B50" s="37" t="inlineStr">
        <is>
          <t>Bro Science Gym</t>
        </is>
      </c>
      <c r="C50" s="37" t="inlineStr">
        <is>
          <t>Work</t>
        </is>
      </c>
      <c r="D50" s="37" t="inlineStr">
        <is>
          <t>Work</t>
        </is>
      </c>
      <c r="E50" s="37" t="inlineStr">
        <is>
          <t>Job assigned at Corporate Soul Exchange</t>
        </is>
      </c>
      <c r="F50" s="37" t="n">
        <v>2</v>
      </c>
      <c r="G50" s="37" t="n">
        <v>0</v>
      </c>
      <c r="H50" s="37">
        <f>ROUND($G50*Settings!$B$3,0)</f>
        <v/>
      </c>
      <c r="I50" s="37">
        <f>ROUND($G50*Settings!$B$4,0)</f>
        <v/>
      </c>
      <c r="J50" s="37">
        <f>ROUND($G50*Settings!$B$5,0)</f>
        <v/>
      </c>
      <c r="K50" s="37" t="inlineStr">
        <is>
          <t>From job tier</t>
        </is>
      </c>
      <c r="L50" s="37" t="n">
        <v>0</v>
      </c>
      <c r="M50" s="37">
        <f>ROUND($L50*Settings!$B$3,0)</f>
        <v/>
      </c>
      <c r="N50" s="37">
        <f>ROUND($L50*Settings!$B$4,0)</f>
        <v/>
      </c>
      <c r="O50" s="37">
        <f>ROUND($L50*Settings!$B$5,0)</f>
        <v/>
      </c>
      <c r="P50" s="37" t="inlineStr">
        <is>
          <t>From job tier</t>
        </is>
      </c>
      <c r="Q50" s="37" t="n">
        <v>0</v>
      </c>
      <c r="R50" s="37">
        <f>ROUND($Q50*Settings!$B$3,0)</f>
        <v/>
      </c>
      <c r="S50" s="37">
        <f>ROUND($Q50*Settings!$B$4,0)</f>
        <v/>
      </c>
      <c r="T50" s="37">
        <f>ROUND($Q50*Settings!$B$5,0)</f>
        <v/>
      </c>
      <c r="U50" s="37" t="n"/>
      <c r="V50" s="37" t="n">
        <v>0</v>
      </c>
      <c r="W50" s="37" t="inlineStr">
        <is>
          <t>Health</t>
        </is>
      </c>
      <c r="X50" s="37" t="n">
        <v>0.015</v>
      </c>
      <c r="Y50" s="37" t="inlineStr">
        <is>
          <t>Happiness</t>
        </is>
      </c>
      <c r="Z50" s="37" t="n">
        <v>0.02</v>
      </c>
      <c r="AA50"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50" s="37" t="inlineStr">
        <is>
          <t>v6 BUG FIX: this row used to grant Money 6%B ($6) and Career 4-6%B on top of the job tier's own pay and Career, which double-counted Career and contradicted the v5 wage table ($40-$400 per click). Both are now zero here.</t>
        </is>
      </c>
      <c r="AC50" s="37" t="inlineStr">
        <is>
          <t>MVP</t>
        </is>
      </c>
      <c r="AD50" s="37" t="inlineStr">
        <is>
          <t>Work</t>
        </is>
      </c>
      <c r="AE50" s="37" t="n"/>
      <c r="AF50" s="37" t="n"/>
      <c r="AG50" s="37" t="n"/>
      <c r="AH50" s="37" t="n">
        <v>1.2</v>
      </c>
      <c r="AI50" s="37" t="inlineStr">
        <is>
          <t>Money/Career now sourced from job tier; building Money Multiplier added</t>
        </is>
      </c>
    </row>
    <row r="51" ht="15" customHeight="1" s="24">
      <c r="A51" s="23" t="inlineStr">
        <is>
          <t>A050</t>
        </is>
      </c>
      <c r="B51" s="23" t="inlineStr">
        <is>
          <t>Bad Decisions Club</t>
        </is>
      </c>
      <c r="C51" s="23" t="inlineStr">
        <is>
          <t>Dance</t>
        </is>
      </c>
      <c r="D51" s="23" t="inlineStr">
        <is>
          <t>Social</t>
        </is>
      </c>
      <c r="E51" s="23" t="inlineStr">
        <is>
          <t>Dressy clothes</t>
        </is>
      </c>
      <c r="F51" s="23" t="n">
        <v>1</v>
      </c>
      <c r="G51" s="23" t="n">
        <v>0.05</v>
      </c>
      <c r="H51" s="23">
        <f>ROUND($G51*Settings!$B$3,0)</f>
        <v/>
      </c>
      <c r="I51" s="23">
        <f>ROUND($G51*Settings!$B$4,0)</f>
        <v/>
      </c>
      <c r="J51" s="23">
        <f>ROUND($G51*Settings!$B$5,0)</f>
        <v/>
      </c>
      <c r="K51" s="23" t="inlineStr">
        <is>
          <t>Connection</t>
        </is>
      </c>
      <c r="L51" s="23" t="n">
        <v>0.05</v>
      </c>
      <c r="M51" s="23">
        <f>ROUND($L51*Settings!$B$3,0)</f>
        <v/>
      </c>
      <c r="N51" s="23">
        <f>ROUND($L51*Settings!$B$4,0)</f>
        <v/>
      </c>
      <c r="O51" s="23">
        <f>ROUND($L51*Settings!$B$5,0)</f>
        <v/>
      </c>
      <c r="P51" s="23" t="inlineStr">
        <is>
          <t>Coolness Factor</t>
        </is>
      </c>
      <c r="Q51" s="23" t="n">
        <v>0.04</v>
      </c>
      <c r="R51" s="23">
        <f>ROUND($Q51*Settings!$B$3,0)</f>
        <v/>
      </c>
      <c r="S51" s="23">
        <f>ROUND($Q51*Settings!$B$4,0)</f>
        <v/>
      </c>
      <c r="T51" s="23">
        <f>ROUND($Q51*Settings!$B$5,0)</f>
        <v/>
      </c>
      <c r="V51" s="23" t="n">
        <v>0</v>
      </c>
      <c r="Z51" s="23" t="n">
        <v>0</v>
      </c>
      <c r="AB51" s="23" t="inlineStr">
        <is>
          <t>Core club action</t>
        </is>
      </c>
      <c r="AC51" s="23" t="inlineStr">
        <is>
          <t>MVP</t>
        </is>
      </c>
    </row>
    <row r="52" ht="15" customHeight="1" s="24">
      <c r="A52" s="23" t="inlineStr">
        <is>
          <t>A051</t>
        </is>
      </c>
      <c r="B52" s="23" t="inlineStr">
        <is>
          <t>Bad Decisions Club</t>
        </is>
      </c>
      <c r="C52" s="23" t="inlineStr">
        <is>
          <t>Flirt Recklessly</t>
        </is>
      </c>
      <c r="D52" s="23" t="inlineStr">
        <is>
          <t>Social</t>
        </is>
      </c>
      <c r="E52" s="23" t="inlineStr">
        <is>
          <t>Dressy clothes</t>
        </is>
      </c>
      <c r="F52" s="23" t="n">
        <v>1</v>
      </c>
      <c r="G52" s="23" t="n">
        <v>0.03</v>
      </c>
      <c r="H52" s="23">
        <f>ROUND($G52*Settings!$B$3,0)</f>
        <v/>
      </c>
      <c r="I52" s="23">
        <f>ROUND($G52*Settings!$B$4,0)</f>
        <v/>
      </c>
      <c r="J52" s="23">
        <f>ROUND($G52*Settings!$B$5,0)</f>
        <v/>
      </c>
      <c r="K52" s="23" t="inlineStr">
        <is>
          <t>Connection</t>
        </is>
      </c>
      <c r="L52" s="23" t="n">
        <v>0.08</v>
      </c>
      <c r="M52" s="23">
        <f>ROUND($L52*Settings!$B$3,0)</f>
        <v/>
      </c>
      <c r="N52" s="23">
        <f>ROUND($L52*Settings!$B$4,0)</f>
        <v/>
      </c>
      <c r="O52" s="23">
        <f>ROUND($L52*Settings!$B$5,0)</f>
        <v/>
      </c>
      <c r="P52" s="23" t="inlineStr">
        <is>
          <t>Coolness Factor</t>
        </is>
      </c>
      <c r="Q52" s="23" t="n">
        <v>0.04</v>
      </c>
      <c r="R52" s="23">
        <f>ROUND($Q52*Settings!$B$3,0)</f>
        <v/>
      </c>
      <c r="S52" s="23">
        <f>ROUND($Q52*Settings!$B$4,0)</f>
        <v/>
      </c>
      <c r="T52" s="23">
        <f>ROUND($Q52*Settings!$B$5,0)</f>
        <v/>
      </c>
      <c r="V52" s="23" t="n">
        <v>0</v>
      </c>
      <c r="W52" s="23" t="inlineStr">
        <is>
          <t>Critical Thinking</t>
        </is>
      </c>
      <c r="X52" s="23" t="n">
        <v>0.04</v>
      </c>
      <c r="Z52" s="23" t="n">
        <v>0</v>
      </c>
      <c r="AB52" s="23" t="inlineStr">
        <is>
          <t>Fast social gain</t>
        </is>
      </c>
      <c r="AC52" s="23" t="inlineStr">
        <is>
          <t>MVP</t>
        </is>
      </c>
    </row>
    <row r="53" ht="15" customHeight="1" s="24">
      <c r="A53" s="23" t="inlineStr">
        <is>
          <t>A052</t>
        </is>
      </c>
      <c r="B53" s="23" t="inlineStr">
        <is>
          <t>Bad Decisions Club</t>
        </is>
      </c>
      <c r="C53" s="23" t="inlineStr">
        <is>
          <t>Get Digits</t>
        </is>
      </c>
      <c r="D53" s="23" t="inlineStr">
        <is>
          <t>Social</t>
        </is>
      </c>
      <c r="E53" s="23" t="inlineStr">
        <is>
          <t>Dressy clothes</t>
        </is>
      </c>
      <c r="F53" s="23" t="n">
        <v>1</v>
      </c>
      <c r="G53" s="23" t="n">
        <v>0.02</v>
      </c>
      <c r="H53" s="23">
        <f>ROUND($G53*Settings!$B$3,0)</f>
        <v/>
      </c>
      <c r="I53" s="23">
        <f>ROUND($G53*Settings!$B$4,0)</f>
        <v/>
      </c>
      <c r="J53" s="23">
        <f>ROUND($G53*Settings!$B$5,0)</f>
        <v/>
      </c>
      <c r="K53" s="23" t="inlineStr">
        <is>
          <t>Connection</t>
        </is>
      </c>
      <c r="L53" s="23" t="n">
        <v>0.06</v>
      </c>
      <c r="M53" s="23">
        <f>ROUND($L53*Settings!$B$3,0)</f>
        <v/>
      </c>
      <c r="N53" s="23">
        <f>ROUND($L53*Settings!$B$4,0)</f>
        <v/>
      </c>
      <c r="O53" s="23">
        <f>ROUND($L53*Settings!$B$5,0)</f>
        <v/>
      </c>
      <c r="Q53" s="23" t="n">
        <v>0</v>
      </c>
      <c r="R53" s="23">
        <f>ROUND($Q53*Settings!$B$3,0)</f>
        <v/>
      </c>
      <c r="S53" s="23">
        <f>ROUND($Q53*Settings!$B$4,0)</f>
        <v/>
      </c>
      <c r="T53" s="23">
        <f>ROUND($Q53*Settings!$B$5,0)</f>
        <v/>
      </c>
      <c r="V53" s="23" t="n">
        <v>0</v>
      </c>
      <c r="W53" s="23" t="inlineStr">
        <is>
          <t>Critical Thinking</t>
        </is>
      </c>
      <c r="X53" s="23" t="n">
        <v>0.025</v>
      </c>
      <c r="Z53" s="23" t="n">
        <v>0</v>
      </c>
      <c r="AB53" s="23" t="inlineStr">
        <is>
          <t>Simple connection action</t>
        </is>
      </c>
      <c r="AC53" s="23" t="inlineStr">
        <is>
          <t>MVP</t>
        </is>
      </c>
    </row>
    <row r="54" ht="15" customHeight="1" s="24">
      <c r="A54" s="23" t="inlineStr">
        <is>
          <t>A053</t>
        </is>
      </c>
      <c r="B54" s="23" t="inlineStr">
        <is>
          <t>Bad Decisions Club</t>
        </is>
      </c>
      <c r="C54" s="23" t="inlineStr">
        <is>
          <t>Order Shots</t>
        </is>
      </c>
      <c r="D54" s="23" t="inlineStr">
        <is>
          <t>Food/Drink</t>
        </is>
      </c>
      <c r="E54" s="23" t="inlineStr">
        <is>
          <t>Dressy clothes</t>
        </is>
      </c>
      <c r="F54" s="23" t="n">
        <v>1</v>
      </c>
      <c r="G54" s="23" t="n">
        <v>0.08</v>
      </c>
      <c r="H54" s="23">
        <f>ROUND($G54*Settings!$B$3,0)</f>
        <v/>
      </c>
      <c r="I54" s="23">
        <f>ROUND($G54*Settings!$B$4,0)</f>
        <v/>
      </c>
      <c r="J54" s="23">
        <f>ROUND($G54*Settings!$B$5,0)</f>
        <v/>
      </c>
      <c r="K54" s="23" t="inlineStr">
        <is>
          <t>Happiness</t>
        </is>
      </c>
      <c r="L54" s="23" t="n">
        <v>0.06</v>
      </c>
      <c r="M54" s="23">
        <f>ROUND($L54*Settings!$B$3,0)</f>
        <v/>
      </c>
      <c r="N54" s="23">
        <f>ROUND($L54*Settings!$B$4,0)</f>
        <v/>
      </c>
      <c r="O54" s="23">
        <f>ROUND($L54*Settings!$B$5,0)</f>
        <v/>
      </c>
      <c r="P54" s="23" t="inlineStr">
        <is>
          <t>Connection</t>
        </is>
      </c>
      <c r="Q54" s="23" t="n">
        <v>0.03</v>
      </c>
      <c r="R54" s="23">
        <f>ROUND($Q54*Settings!$B$3,0)</f>
        <v/>
      </c>
      <c r="S54" s="23">
        <f>ROUND($Q54*Settings!$B$4,0)</f>
        <v/>
      </c>
      <c r="T54" s="23">
        <f>ROUND($Q54*Settings!$B$5,0)</f>
        <v/>
      </c>
      <c r="V54" s="23" t="n">
        <v>0</v>
      </c>
      <c r="W54" s="23" t="inlineStr">
        <is>
          <t>Health</t>
        </is>
      </c>
      <c r="X54" s="23" t="n">
        <v>0.05</v>
      </c>
      <c r="Y54" s="23" t="inlineStr">
        <is>
          <t>Money</t>
        </is>
      </c>
      <c r="Z54" s="23" t="n">
        <v>0.02</v>
      </c>
      <c r="AB54" s="23" t="inlineStr">
        <is>
          <t>Club should drain health/money</t>
        </is>
      </c>
      <c r="AC54" s="23" t="inlineStr">
        <is>
          <t>MVP</t>
        </is>
      </c>
      <c r="AD54" s="23" t="inlineStr">
        <is>
          <t>Eat</t>
        </is>
      </c>
    </row>
    <row r="55" ht="15" customHeight="1" s="24">
      <c r="A55" s="23" t="inlineStr">
        <is>
          <t>A054</t>
        </is>
      </c>
      <c r="B55" s="23" t="inlineStr">
        <is>
          <t>Bad Decisions Club</t>
        </is>
      </c>
      <c r="C55" s="23" t="inlineStr">
        <is>
          <t>VIP Lounge</t>
        </is>
      </c>
      <c r="D55" s="23" t="inlineStr">
        <is>
          <t>Social</t>
        </is>
      </c>
      <c r="E55" s="23" t="inlineStr">
        <is>
          <t>Dressy clothes + Coolness threshold</t>
        </is>
      </c>
      <c r="F55" s="23" t="n">
        <v>2</v>
      </c>
      <c r="G55" s="23" t="n">
        <v>0.16</v>
      </c>
      <c r="H55" s="23">
        <f>ROUND($G55*Settings!$B$3,0)</f>
        <v/>
      </c>
      <c r="I55" s="23">
        <f>ROUND($G55*Settings!$B$4,0)</f>
        <v/>
      </c>
      <c r="J55" s="23">
        <f>ROUND($G55*Settings!$B$5,0)</f>
        <v/>
      </c>
      <c r="K55" s="23" t="inlineStr">
        <is>
          <t>Coolness Factor</t>
        </is>
      </c>
      <c r="L55" s="23" t="n">
        <v>0.1</v>
      </c>
      <c r="M55" s="23">
        <f>ROUND($L55*Settings!$B$3,0)</f>
        <v/>
      </c>
      <c r="N55" s="23">
        <f>ROUND($L55*Settings!$B$4,0)</f>
        <v/>
      </c>
      <c r="O55" s="23">
        <f>ROUND($L55*Settings!$B$5,0)</f>
        <v/>
      </c>
      <c r="P55" s="23" t="inlineStr">
        <is>
          <t>Connection</t>
        </is>
      </c>
      <c r="Q55" s="23" t="n">
        <v>0.08</v>
      </c>
      <c r="R55" s="23">
        <f>ROUND($Q55*Settings!$B$3,0)</f>
        <v/>
      </c>
      <c r="S55" s="23">
        <f>ROUND($Q55*Settings!$B$4,0)</f>
        <v/>
      </c>
      <c r="T55" s="23">
        <f>ROUND($Q55*Settings!$B$5,0)</f>
        <v/>
      </c>
      <c r="V55" s="23" t="n">
        <v>0</v>
      </c>
      <c r="Z55" s="23" t="n">
        <v>0</v>
      </c>
      <c r="AB55" s="23" t="inlineStr">
        <is>
          <t>Premium social route</t>
        </is>
      </c>
      <c r="AC55" s="23" t="inlineStr">
        <is>
          <t>MVP</t>
        </is>
      </c>
    </row>
    <row r="56" ht="15" customHeight="1" s="24">
      <c r="A56" s="23" t="inlineStr">
        <is>
          <t>A055</t>
        </is>
      </c>
      <c r="B56" s="23" t="inlineStr">
        <is>
          <t>Bad Decisions Club</t>
        </is>
      </c>
      <c r="C56" s="23" t="inlineStr">
        <is>
          <t>Go Home With Stranger</t>
        </is>
      </c>
      <c r="D56" s="23" t="inlineStr">
        <is>
          <t>Social</t>
        </is>
      </c>
      <c r="E56" s="23" t="inlineStr">
        <is>
          <t>Dressy clothes</t>
        </is>
      </c>
      <c r="F56" s="23" t="n">
        <v>2</v>
      </c>
      <c r="G56" s="23" t="n">
        <v>0</v>
      </c>
      <c r="H56" s="23">
        <f>ROUND($G56*Settings!$B$3,0)</f>
        <v/>
      </c>
      <c r="I56" s="23">
        <f>ROUND($G56*Settings!$B$4,0)</f>
        <v/>
      </c>
      <c r="J56" s="23">
        <f>ROUND($G56*Settings!$B$5,0)</f>
        <v/>
      </c>
      <c r="K56" s="23" t="inlineStr">
        <is>
          <t>Connection</t>
        </is>
      </c>
      <c r="L56" s="23" t="n">
        <v>0.1</v>
      </c>
      <c r="M56" s="23">
        <f>ROUND($L56*Settings!$B$3,0)</f>
        <v/>
      </c>
      <c r="N56" s="23">
        <f>ROUND($L56*Settings!$B$4,0)</f>
        <v/>
      </c>
      <c r="O56" s="23">
        <f>ROUND($L56*Settings!$B$5,0)</f>
        <v/>
      </c>
      <c r="Q56" s="23" t="n">
        <v>0</v>
      </c>
      <c r="R56" s="23">
        <f>ROUND($Q56*Settings!$B$3,0)</f>
        <v/>
      </c>
      <c r="S56" s="23">
        <f>ROUND($Q56*Settings!$B$4,0)</f>
        <v/>
      </c>
      <c r="T56" s="23">
        <f>ROUND($Q56*Settings!$B$5,0)</f>
        <v/>
      </c>
      <c r="V56" s="23" t="n">
        <v>0</v>
      </c>
      <c r="W56" s="23" t="inlineStr">
        <is>
          <t>Critical Thinking</t>
        </is>
      </c>
      <c r="X56" s="23" t="n">
        <v>0.06</v>
      </c>
      <c r="Z56" s="23" t="n">
        <v>0</v>
      </c>
      <c r="AB56" s="23" t="inlineStr">
        <is>
          <t>Big connection, bad judgment</t>
        </is>
      </c>
      <c r="AC56" s="23" t="inlineStr">
        <is>
          <t>MVP</t>
        </is>
      </c>
    </row>
    <row r="57" ht="15" customHeight="1" s="24">
      <c r="A57" s="23" t="inlineStr">
        <is>
          <t>A056</t>
        </is>
      </c>
      <c r="B57" s="23" t="inlineStr">
        <is>
          <t>Bad Decisions Club</t>
        </is>
      </c>
      <c r="C57" s="23" t="inlineStr">
        <is>
          <t>Brag About Side Hustle</t>
        </is>
      </c>
      <c r="D57" s="23" t="inlineStr">
        <is>
          <t>Coolness</t>
        </is>
      </c>
      <c r="E57" s="23" t="inlineStr">
        <is>
          <t>Dressy clothes</t>
        </is>
      </c>
      <c r="F57" s="23" t="n">
        <v>1</v>
      </c>
      <c r="G57" s="23" t="n">
        <v>0</v>
      </c>
      <c r="H57" s="23">
        <f>ROUND($G57*Settings!$B$3,0)</f>
        <v/>
      </c>
      <c r="I57" s="23">
        <f>ROUND($G57*Settings!$B$4,0)</f>
        <v/>
      </c>
      <c r="J57" s="23">
        <f>ROUND($G57*Settings!$B$5,0)</f>
        <v/>
      </c>
      <c r="K57" s="23" t="inlineStr">
        <is>
          <t>Coolness Factor</t>
        </is>
      </c>
      <c r="L57" s="23" t="n">
        <v>0.04</v>
      </c>
      <c r="M57" s="23">
        <f>ROUND($L57*Settings!$B$3,0)</f>
        <v/>
      </c>
      <c r="N57" s="23">
        <f>ROUND($L57*Settings!$B$4,0)</f>
        <v/>
      </c>
      <c r="O57" s="23">
        <f>ROUND($L57*Settings!$B$5,0)</f>
        <v/>
      </c>
      <c r="Q57" s="23" t="n">
        <v>0</v>
      </c>
      <c r="R57" s="23">
        <f>ROUND($Q57*Settings!$B$3,0)</f>
        <v/>
      </c>
      <c r="S57" s="23">
        <f>ROUND($Q57*Settings!$B$4,0)</f>
        <v/>
      </c>
      <c r="T57" s="23">
        <f>ROUND($Q57*Settings!$B$5,0)</f>
        <v/>
      </c>
      <c r="V57" s="23" t="n">
        <v>0</v>
      </c>
      <c r="W57" s="23" t="inlineStr">
        <is>
          <t>Connection</t>
        </is>
      </c>
      <c r="X57" s="23" t="n">
        <v>0.025</v>
      </c>
      <c r="Z57" s="23" t="n">
        <v>0</v>
      </c>
      <c r="AB57" s="23" t="inlineStr">
        <is>
          <t>Minor comedy tradeoff</t>
        </is>
      </c>
      <c r="AC57" s="23" t="inlineStr">
        <is>
          <t>MVP</t>
        </is>
      </c>
    </row>
    <row r="58" ht="15" customHeight="1" s="24">
      <c r="A58" s="37" t="inlineStr">
        <is>
          <t>A057</t>
        </is>
      </c>
      <c r="B58" s="37" t="inlineStr">
        <is>
          <t>Bad Decisions Club</t>
        </is>
      </c>
      <c r="C58" s="37" t="inlineStr">
        <is>
          <t>Work</t>
        </is>
      </c>
      <c r="D58" s="37" t="inlineStr">
        <is>
          <t>Work</t>
        </is>
      </c>
      <c r="E58" s="37" t="inlineStr">
        <is>
          <t>Job assigned at Corporate Soul Exchange</t>
        </is>
      </c>
      <c r="F58" s="37" t="n">
        <v>2</v>
      </c>
      <c r="G58" s="37" t="n">
        <v>0</v>
      </c>
      <c r="H58" s="37">
        <f>ROUND($G58*Settings!$B$3,0)</f>
        <v/>
      </c>
      <c r="I58" s="37">
        <f>ROUND($G58*Settings!$B$4,0)</f>
        <v/>
      </c>
      <c r="J58" s="37">
        <f>ROUND($G58*Settings!$B$5,0)</f>
        <v/>
      </c>
      <c r="K58" s="37" t="inlineStr">
        <is>
          <t>From job tier</t>
        </is>
      </c>
      <c r="L58" s="37" t="n">
        <v>0</v>
      </c>
      <c r="M58" s="37">
        <f>ROUND($L58*Settings!$B$3,0)</f>
        <v/>
      </c>
      <c r="N58" s="37">
        <f>ROUND($L58*Settings!$B$4,0)</f>
        <v/>
      </c>
      <c r="O58" s="37">
        <f>ROUND($L58*Settings!$B$5,0)</f>
        <v/>
      </c>
      <c r="P58" s="37" t="inlineStr">
        <is>
          <t>From job tier</t>
        </is>
      </c>
      <c r="Q58" s="37" t="n">
        <v>0</v>
      </c>
      <c r="R58" s="37">
        <f>ROUND($Q58*Settings!$B$3,0)</f>
        <v/>
      </c>
      <c r="S58" s="37">
        <f>ROUND($Q58*Settings!$B$4,0)</f>
        <v/>
      </c>
      <c r="T58" s="37">
        <f>ROUND($Q58*Settings!$B$5,0)</f>
        <v/>
      </c>
      <c r="U58" s="37" t="n"/>
      <c r="V58" s="37" t="n">
        <v>0</v>
      </c>
      <c r="W58" s="37" t="inlineStr">
        <is>
          <t>Health</t>
        </is>
      </c>
      <c r="X58" s="37" t="n">
        <v>0.03</v>
      </c>
      <c r="Y58" s="37" t="inlineStr">
        <is>
          <t>Happiness</t>
        </is>
      </c>
      <c r="Z58" s="37" t="n">
        <v>0.02</v>
      </c>
      <c r="AA58"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58" s="37" t="inlineStr">
        <is>
          <t>v6 BUG FIX: this row used to grant Money 6%B ($6) and Career 4-6%B on top of the job tier's own pay and Career, which double-counted Career and contradicted the v5 wage table ($40-$400 per click). Both are now zero here.</t>
        </is>
      </c>
      <c r="AC58" s="37" t="inlineStr">
        <is>
          <t>MVP</t>
        </is>
      </c>
      <c r="AD58" s="37" t="inlineStr">
        <is>
          <t>Work</t>
        </is>
      </c>
      <c r="AE58" s="37" t="n"/>
      <c r="AF58" s="37" t="n"/>
      <c r="AG58" s="37" t="n"/>
      <c r="AH58" s="37" t="n">
        <v>1.2</v>
      </c>
      <c r="AI58" s="37" t="inlineStr">
        <is>
          <t>Money/Career now sourced from job tier; building Money Multiplier added</t>
        </is>
      </c>
    </row>
    <row r="59" ht="15" customHeight="1" s="24">
      <c r="A59" s="23" t="inlineStr">
        <is>
          <t>A058</t>
        </is>
      </c>
      <c r="B59" s="23" t="inlineStr">
        <is>
          <t>Re-Education Temple</t>
        </is>
      </c>
      <c r="C59" s="23" t="inlineStr">
        <is>
          <t>Buy My Camp</t>
        </is>
      </c>
      <c r="D59" s="23" t="inlineStr">
        <is>
          <t>Unlock</t>
        </is>
      </c>
      <c r="E59" s="23" t="inlineStr">
        <is>
          <t>Money threshold</t>
        </is>
      </c>
      <c r="F59" s="23" t="n">
        <v>1</v>
      </c>
      <c r="G59" s="23" t="n">
        <v>0.2</v>
      </c>
      <c r="H59" s="23">
        <f>ROUND($G59*Settings!$B$3,0)</f>
        <v/>
      </c>
      <c r="I59" s="23">
        <f>ROUND($G59*Settings!$B$4,0)</f>
        <v/>
      </c>
      <c r="J59" s="23">
        <f>ROUND($G59*Settings!$B$5,0)</f>
        <v/>
      </c>
      <c r="K59" s="23" t="inlineStr">
        <is>
          <t>Enlightenment</t>
        </is>
      </c>
      <c r="L59" s="23" t="n">
        <v>0.05</v>
      </c>
      <c r="M59" s="23">
        <f>ROUND($L59*Settings!$B$3,0)</f>
        <v/>
      </c>
      <c r="N59" s="23">
        <f>ROUND($L59*Settings!$B$4,0)</f>
        <v/>
      </c>
      <c r="O59" s="23">
        <f>ROUND($L59*Settings!$B$5,0)</f>
        <v/>
      </c>
      <c r="Q59" s="23" t="n">
        <v>0</v>
      </c>
      <c r="R59" s="23">
        <f>ROUND($Q59*Settings!$B$3,0)</f>
        <v/>
      </c>
      <c r="S59" s="23">
        <f>ROUND($Q59*Settings!$B$4,0)</f>
        <v/>
      </c>
      <c r="T59" s="23">
        <f>ROUND($Q59*Settings!$B$5,0)</f>
        <v/>
      </c>
      <c r="V59" s="23" t="n">
        <v>0</v>
      </c>
      <c r="Z59" s="23" t="n">
        <v>0</v>
      </c>
      <c r="AA59" s="23" t="inlineStr">
        <is>
          <t>Unlocks advanced temple actions; boosts enlightenment when relaxing at home</t>
        </is>
      </c>
      <c r="AB59" s="23" t="inlineStr">
        <is>
          <t>Key temple purchase</t>
        </is>
      </c>
      <c r="AC59" s="23" t="inlineStr">
        <is>
          <t>MVP</t>
        </is>
      </c>
    </row>
    <row r="60" ht="15" customHeight="1" s="24">
      <c r="A60" s="23" t="inlineStr">
        <is>
          <t>A059</t>
        </is>
      </c>
      <c r="B60" s="23" t="inlineStr">
        <is>
          <t>Re-Education Temple</t>
        </is>
      </c>
      <c r="C60" s="23" t="inlineStr">
        <is>
          <t>Surrender Thought</t>
        </is>
      </c>
      <c r="D60" s="23" t="inlineStr">
        <is>
          <t>Enlightenment</t>
        </is>
      </c>
      <c r="E60" s="23" t="inlineStr">
        <is>
          <t>None</t>
        </is>
      </c>
      <c r="F60" s="23" t="n">
        <v>1</v>
      </c>
      <c r="G60" s="23" t="n">
        <v>0</v>
      </c>
      <c r="H60" s="23">
        <f>ROUND($G60*Settings!$B$3,0)</f>
        <v/>
      </c>
      <c r="I60" s="23">
        <f>ROUND($G60*Settings!$B$4,0)</f>
        <v/>
      </c>
      <c r="J60" s="23">
        <f>ROUND($G60*Settings!$B$5,0)</f>
        <v/>
      </c>
      <c r="K60" s="23" t="inlineStr">
        <is>
          <t>Enlightenment</t>
        </is>
      </c>
      <c r="L60" s="23" t="n">
        <v>0.08</v>
      </c>
      <c r="M60" s="23">
        <f>ROUND($L60*Settings!$B$3,0)</f>
        <v/>
      </c>
      <c r="N60" s="23">
        <f>ROUND($L60*Settings!$B$4,0)</f>
        <v/>
      </c>
      <c r="O60" s="23">
        <f>ROUND($L60*Settings!$B$5,0)</f>
        <v/>
      </c>
      <c r="Q60" s="23" t="n">
        <v>0</v>
      </c>
      <c r="R60" s="23">
        <f>ROUND($Q60*Settings!$B$3,0)</f>
        <v/>
      </c>
      <c r="S60" s="23">
        <f>ROUND($Q60*Settings!$B$4,0)</f>
        <v/>
      </c>
      <c r="T60" s="23">
        <f>ROUND($Q60*Settings!$B$5,0)</f>
        <v/>
      </c>
      <c r="V60" s="23" t="n">
        <v>0</v>
      </c>
      <c r="W60" s="23" t="inlineStr">
        <is>
          <t>Critical Thinking</t>
        </is>
      </c>
      <c r="X60" s="23" t="n">
        <v>0.04</v>
      </c>
      <c r="Z60" s="23" t="n">
        <v>0</v>
      </c>
      <c r="AB60" s="23" t="inlineStr">
        <is>
          <t>Strong but suspicious</t>
        </is>
      </c>
      <c r="AC60" s="23" t="inlineStr">
        <is>
          <t>MVP</t>
        </is>
      </c>
    </row>
    <row r="61" ht="15" customHeight="1" s="24">
      <c r="A61" s="23" t="inlineStr">
        <is>
          <t>A060</t>
        </is>
      </c>
      <c r="B61" s="23" t="inlineStr">
        <is>
          <t>Re-Education Temple</t>
        </is>
      </c>
      <c r="C61" s="23" t="inlineStr">
        <is>
          <t>Join Group Chant</t>
        </is>
      </c>
      <c r="D61" s="23" t="inlineStr">
        <is>
          <t>Social</t>
        </is>
      </c>
      <c r="E61" s="23" t="inlineStr">
        <is>
          <t>None</t>
        </is>
      </c>
      <c r="F61" s="23" t="n">
        <v>1</v>
      </c>
      <c r="G61" s="23" t="n">
        <v>0.02</v>
      </c>
      <c r="H61" s="23">
        <f>ROUND($G61*Settings!$B$3,0)</f>
        <v/>
      </c>
      <c r="I61" s="23">
        <f>ROUND($G61*Settings!$B$4,0)</f>
        <v/>
      </c>
      <c r="J61" s="23">
        <f>ROUND($G61*Settings!$B$5,0)</f>
        <v/>
      </c>
      <c r="K61" s="23" t="inlineStr">
        <is>
          <t>Enlightenment</t>
        </is>
      </c>
      <c r="L61" s="23" t="n">
        <v>0.06</v>
      </c>
      <c r="M61" s="23">
        <f>ROUND($L61*Settings!$B$3,0)</f>
        <v/>
      </c>
      <c r="N61" s="23">
        <f>ROUND($L61*Settings!$B$4,0)</f>
        <v/>
      </c>
      <c r="O61" s="23">
        <f>ROUND($L61*Settings!$B$5,0)</f>
        <v/>
      </c>
      <c r="P61" s="23" t="inlineStr">
        <is>
          <t>Connection</t>
        </is>
      </c>
      <c r="Q61" s="23" t="n">
        <v>0.04</v>
      </c>
      <c r="R61" s="23">
        <f>ROUND($Q61*Settings!$B$3,0)</f>
        <v/>
      </c>
      <c r="S61" s="23">
        <f>ROUND($Q61*Settings!$B$4,0)</f>
        <v/>
      </c>
      <c r="T61" s="23">
        <f>ROUND($Q61*Settings!$B$5,0)</f>
        <v/>
      </c>
      <c r="V61" s="23" t="n">
        <v>0</v>
      </c>
      <c r="Z61" s="23" t="n">
        <v>0</v>
      </c>
      <c r="AB61" s="23" t="inlineStr">
        <is>
          <t>Temple social route</t>
        </is>
      </c>
      <c r="AC61" s="23" t="inlineStr">
        <is>
          <t>MVP</t>
        </is>
      </c>
    </row>
    <row r="62" ht="15" customHeight="1" s="24">
      <c r="A62" s="23" t="inlineStr">
        <is>
          <t>A061</t>
        </is>
      </c>
      <c r="B62" s="23" t="inlineStr">
        <is>
          <t>Re-Education Temple</t>
        </is>
      </c>
      <c r="C62" s="23" t="inlineStr">
        <is>
          <t>Report Doubt</t>
        </is>
      </c>
      <c r="D62" s="23" t="inlineStr">
        <is>
          <t>Enlightenment</t>
        </is>
      </c>
      <c r="E62" s="23" t="inlineStr">
        <is>
          <t>None</t>
        </is>
      </c>
      <c r="F62" s="23" t="n">
        <v>1</v>
      </c>
      <c r="G62" s="23" t="n">
        <v>0</v>
      </c>
      <c r="H62" s="23">
        <f>ROUND($G62*Settings!$B$3,0)</f>
        <v/>
      </c>
      <c r="I62" s="23">
        <f>ROUND($G62*Settings!$B$4,0)</f>
        <v/>
      </c>
      <c r="J62" s="23">
        <f>ROUND($G62*Settings!$B$5,0)</f>
        <v/>
      </c>
      <c r="K62" s="23" t="inlineStr">
        <is>
          <t>Enlightenment</t>
        </is>
      </c>
      <c r="L62" s="23" t="n">
        <v>0.05</v>
      </c>
      <c r="M62" s="23">
        <f>ROUND($L62*Settings!$B$3,0)</f>
        <v/>
      </c>
      <c r="N62" s="23">
        <f>ROUND($L62*Settings!$B$4,0)</f>
        <v/>
      </c>
      <c r="O62" s="23">
        <f>ROUND($L62*Settings!$B$5,0)</f>
        <v/>
      </c>
      <c r="Q62" s="23" t="n">
        <v>0</v>
      </c>
      <c r="R62" s="23">
        <f>ROUND($Q62*Settings!$B$3,0)</f>
        <v/>
      </c>
      <c r="S62" s="23">
        <f>ROUND($Q62*Settings!$B$4,0)</f>
        <v/>
      </c>
      <c r="T62" s="23">
        <f>ROUND($Q62*Settings!$B$5,0)</f>
        <v/>
      </c>
      <c r="V62" s="23" t="n">
        <v>0</v>
      </c>
      <c r="W62" s="23" t="inlineStr">
        <is>
          <t>Critical Thinking</t>
        </is>
      </c>
      <c r="X62" s="23" t="n">
        <v>0.03</v>
      </c>
      <c r="Z62" s="23" t="n">
        <v>0</v>
      </c>
      <c r="AB62" s="23" t="inlineStr">
        <is>
          <t>Cult satire</t>
        </is>
      </c>
      <c r="AC62" s="23" t="inlineStr">
        <is>
          <t>MVP</t>
        </is>
      </c>
    </row>
    <row r="63" ht="15" customHeight="1" s="24">
      <c r="A63" s="23" t="inlineStr">
        <is>
          <t>A062</t>
        </is>
      </c>
      <c r="B63" s="23" t="inlineStr">
        <is>
          <t>Re-Education Temple</t>
        </is>
      </c>
      <c r="C63" s="23" t="inlineStr">
        <is>
          <t>Achieve Inner Peace</t>
        </is>
      </c>
      <c r="D63" s="23" t="inlineStr">
        <is>
          <t>Enlightenment</t>
        </is>
      </c>
      <c r="E63" s="23" t="inlineStr">
        <is>
          <t>Enlightenment threshold</t>
        </is>
      </c>
      <c r="F63" s="23" t="n">
        <v>2</v>
      </c>
      <c r="G63" s="23" t="n">
        <v>0.04</v>
      </c>
      <c r="H63" s="23">
        <f>ROUND($G63*Settings!$B$3,0)</f>
        <v/>
      </c>
      <c r="I63" s="23">
        <f>ROUND($G63*Settings!$B$4,0)</f>
        <v/>
      </c>
      <c r="J63" s="23">
        <f>ROUND($G63*Settings!$B$5,0)</f>
        <v/>
      </c>
      <c r="K63" s="23" t="inlineStr">
        <is>
          <t>Enlightenment</t>
        </is>
      </c>
      <c r="L63" s="23" t="n">
        <v>0.12</v>
      </c>
      <c r="M63" s="23">
        <f>ROUND($L63*Settings!$B$3,0)</f>
        <v/>
      </c>
      <c r="N63" s="23">
        <f>ROUND($L63*Settings!$B$4,0)</f>
        <v/>
      </c>
      <c r="O63" s="23">
        <f>ROUND($L63*Settings!$B$5,0)</f>
        <v/>
      </c>
      <c r="P63" s="23" t="inlineStr">
        <is>
          <t>Happiness</t>
        </is>
      </c>
      <c r="Q63" s="23" t="n">
        <v>0.04</v>
      </c>
      <c r="R63" s="23">
        <f>ROUND($Q63*Settings!$B$3,0)</f>
        <v/>
      </c>
      <c r="S63" s="23">
        <f>ROUND($Q63*Settings!$B$4,0)</f>
        <v/>
      </c>
      <c r="T63" s="23">
        <f>ROUND($Q63*Settings!$B$5,0)</f>
        <v/>
      </c>
      <c r="V63" s="23" t="n">
        <v>0</v>
      </c>
      <c r="Z63" s="23" t="n">
        <v>0</v>
      </c>
      <c r="AB63" s="23" t="inlineStr">
        <is>
          <t>Premium enlightenment route</t>
        </is>
      </c>
      <c r="AC63" s="23" t="inlineStr">
        <is>
          <t>MVP</t>
        </is>
      </c>
      <c r="AD63" s="23" t="inlineStr">
        <is>
          <t>Relax</t>
        </is>
      </c>
    </row>
    <row r="64" ht="15" customHeight="1" s="24">
      <c r="A64" s="23" t="inlineStr">
        <is>
          <t>A063</t>
        </is>
      </c>
      <c r="B64" s="23" t="inlineStr">
        <is>
          <t>Re-Education Temple</t>
        </is>
      </c>
      <c r="C64" s="23" t="inlineStr">
        <is>
          <t>Guided Surrender Package</t>
        </is>
      </c>
      <c r="D64" s="23" t="inlineStr">
        <is>
          <t>Enlightenment</t>
        </is>
      </c>
      <c r="E64" s="23" t="inlineStr">
        <is>
          <t>None</t>
        </is>
      </c>
      <c r="F64" s="23" t="n">
        <v>1</v>
      </c>
      <c r="G64" s="23" t="n">
        <v>0.12</v>
      </c>
      <c r="H64" s="23">
        <f>ROUND($G64*Settings!$B$3,0)</f>
        <v/>
      </c>
      <c r="I64" s="23">
        <f>ROUND($G64*Settings!$B$4,0)</f>
        <v/>
      </c>
      <c r="J64" s="23">
        <f>ROUND($G64*Settings!$B$5,0)</f>
        <v/>
      </c>
      <c r="K64" s="23" t="inlineStr">
        <is>
          <t>Enlightenment</t>
        </is>
      </c>
      <c r="L64" s="23" t="n">
        <v>0.1</v>
      </c>
      <c r="M64" s="23">
        <f>ROUND($L64*Settings!$B$3,0)</f>
        <v/>
      </c>
      <c r="N64" s="23">
        <f>ROUND($L64*Settings!$B$4,0)</f>
        <v/>
      </c>
      <c r="O64" s="23">
        <f>ROUND($L64*Settings!$B$5,0)</f>
        <v/>
      </c>
      <c r="Q64" s="23" t="n">
        <v>0</v>
      </c>
      <c r="R64" s="23">
        <f>ROUND($Q64*Settings!$B$3,0)</f>
        <v/>
      </c>
      <c r="S64" s="23">
        <f>ROUND($Q64*Settings!$B$4,0)</f>
        <v/>
      </c>
      <c r="T64" s="23">
        <f>ROUND($Q64*Settings!$B$5,0)</f>
        <v/>
      </c>
      <c r="V64" s="23" t="n">
        <v>0</v>
      </c>
      <c r="Z64" s="23" t="n">
        <v>0</v>
      </c>
      <c r="AB64" s="23" t="inlineStr">
        <is>
          <t>Paid enlightenment</t>
        </is>
      </c>
      <c r="AC64" s="23" t="inlineStr">
        <is>
          <t>MVP</t>
        </is>
      </c>
    </row>
    <row r="65" ht="15" customHeight="1" s="24">
      <c r="A65" s="23" t="inlineStr">
        <is>
          <t>A064</t>
        </is>
      </c>
      <c r="B65" s="23" t="inlineStr">
        <is>
          <t>Re-Education Temple</t>
        </is>
      </c>
      <c r="C65" s="23" t="inlineStr">
        <is>
          <t>Volunteer Service</t>
        </is>
      </c>
      <c r="D65" s="23" t="inlineStr">
        <is>
          <t>Social</t>
        </is>
      </c>
      <c r="E65" s="23" t="inlineStr">
        <is>
          <t>None</t>
        </is>
      </c>
      <c r="F65" s="23" t="n">
        <v>1</v>
      </c>
      <c r="G65" s="23" t="n">
        <v>0</v>
      </c>
      <c r="H65" s="23">
        <f>ROUND($G65*Settings!$B$3,0)</f>
        <v/>
      </c>
      <c r="I65" s="23">
        <f>ROUND($G65*Settings!$B$4,0)</f>
        <v/>
      </c>
      <c r="J65" s="23">
        <f>ROUND($G65*Settings!$B$5,0)</f>
        <v/>
      </c>
      <c r="K65" s="23" t="inlineStr">
        <is>
          <t>Connection</t>
        </is>
      </c>
      <c r="L65" s="23" t="n">
        <v>0.05</v>
      </c>
      <c r="M65" s="23">
        <f>ROUND($L65*Settings!$B$3,0)</f>
        <v/>
      </c>
      <c r="N65" s="23">
        <f>ROUND($L65*Settings!$B$4,0)</f>
        <v/>
      </c>
      <c r="O65" s="23">
        <f>ROUND($L65*Settings!$B$5,0)</f>
        <v/>
      </c>
      <c r="P65" s="23" t="inlineStr">
        <is>
          <t>Enlightenment</t>
        </is>
      </c>
      <c r="Q65" s="23" t="n">
        <v>0.05</v>
      </c>
      <c r="R65" s="23">
        <f>ROUND($Q65*Settings!$B$3,0)</f>
        <v/>
      </c>
      <c r="S65" s="23">
        <f>ROUND($Q65*Settings!$B$4,0)</f>
        <v/>
      </c>
      <c r="T65" s="23">
        <f>ROUND($Q65*Settings!$B$5,0)</f>
        <v/>
      </c>
      <c r="V65" s="23" t="n">
        <v>0</v>
      </c>
      <c r="Z65" s="23" t="n">
        <v>0</v>
      </c>
      <c r="AB65" s="23" t="inlineStr">
        <is>
          <t>Good hybrid</t>
        </is>
      </c>
      <c r="AC65" s="23" t="inlineStr">
        <is>
          <t>MVP</t>
        </is>
      </c>
    </row>
    <row r="66" ht="15" customHeight="1" s="24">
      <c r="A66" s="23" t="inlineStr">
        <is>
          <t>A065</t>
        </is>
      </c>
      <c r="B66" s="23" t="inlineStr">
        <is>
          <t>Re-Education Temple</t>
        </is>
      </c>
      <c r="C66" s="23" t="inlineStr">
        <is>
          <t>Read Holy Fine Print</t>
        </is>
      </c>
      <c r="D66" s="23" t="inlineStr">
        <is>
          <t>Study</t>
        </is>
      </c>
      <c r="E66" s="23" t="inlineStr">
        <is>
          <t>None</t>
        </is>
      </c>
      <c r="F66" s="23" t="n">
        <v>1</v>
      </c>
      <c r="G66" s="23" t="n">
        <v>0</v>
      </c>
      <c r="H66" s="23">
        <f>ROUND($G66*Settings!$B$3,0)</f>
        <v/>
      </c>
      <c r="I66" s="23">
        <f>ROUND($G66*Settings!$B$4,0)</f>
        <v/>
      </c>
      <c r="J66" s="23">
        <f>ROUND($G66*Settings!$B$5,0)</f>
        <v/>
      </c>
      <c r="K66" s="23" t="inlineStr">
        <is>
          <t>Critical Thinking</t>
        </is>
      </c>
      <c r="L66" s="23" t="n">
        <v>0.03</v>
      </c>
      <c r="M66" s="23">
        <f>ROUND($L66*Settings!$B$3,0)</f>
        <v/>
      </c>
      <c r="N66" s="23">
        <f>ROUND($L66*Settings!$B$4,0)</f>
        <v/>
      </c>
      <c r="O66" s="23">
        <f>ROUND($L66*Settings!$B$5,0)</f>
        <v/>
      </c>
      <c r="P66" s="23" t="inlineStr">
        <is>
          <t>Enlightenment</t>
        </is>
      </c>
      <c r="Q66" s="23" t="n">
        <v>0.03</v>
      </c>
      <c r="R66" s="23">
        <f>ROUND($Q66*Settings!$B$3,0)</f>
        <v/>
      </c>
      <c r="S66" s="23">
        <f>ROUND($Q66*Settings!$B$4,0)</f>
        <v/>
      </c>
      <c r="T66" s="23">
        <f>ROUND($Q66*Settings!$B$5,0)</f>
        <v/>
      </c>
      <c r="V66" s="23" t="n">
        <v>0</v>
      </c>
      <c r="Z66" s="23" t="n">
        <v>0</v>
      </c>
      <c r="AB66" s="23" t="inlineStr">
        <is>
          <t>Safer temple action</t>
        </is>
      </c>
      <c r="AC66" s="23" t="inlineStr">
        <is>
          <t>MVP</t>
        </is>
      </c>
    </row>
    <row r="67" ht="15" customHeight="1" s="24">
      <c r="A67" s="37" t="inlineStr">
        <is>
          <t>A066</t>
        </is>
      </c>
      <c r="B67" s="37" t="inlineStr">
        <is>
          <t>Re-Education Temple</t>
        </is>
      </c>
      <c r="C67" s="37" t="inlineStr">
        <is>
          <t>Work</t>
        </is>
      </c>
      <c r="D67" s="37" t="inlineStr">
        <is>
          <t>Work</t>
        </is>
      </c>
      <c r="E67" s="37" t="inlineStr">
        <is>
          <t>Job assigned at Corporate Soul Exchange</t>
        </is>
      </c>
      <c r="F67" s="37" t="n">
        <v>2</v>
      </c>
      <c r="G67" s="37" t="n">
        <v>0</v>
      </c>
      <c r="H67" s="37">
        <f>ROUND($G67*Settings!$B$3,0)</f>
        <v/>
      </c>
      <c r="I67" s="37">
        <f>ROUND($G67*Settings!$B$4,0)</f>
        <v/>
      </c>
      <c r="J67" s="37">
        <f>ROUND($G67*Settings!$B$5,0)</f>
        <v/>
      </c>
      <c r="K67" s="37" t="inlineStr">
        <is>
          <t>From job tier</t>
        </is>
      </c>
      <c r="L67" s="37" t="n">
        <v>0</v>
      </c>
      <c r="M67" s="37">
        <f>ROUND($L67*Settings!$B$3,0)</f>
        <v/>
      </c>
      <c r="N67" s="37">
        <f>ROUND($L67*Settings!$B$4,0)</f>
        <v/>
      </c>
      <c r="O67" s="37">
        <f>ROUND($L67*Settings!$B$5,0)</f>
        <v/>
      </c>
      <c r="P67" s="37" t="inlineStr">
        <is>
          <t>From job tier</t>
        </is>
      </c>
      <c r="Q67" s="37" t="n">
        <v>0</v>
      </c>
      <c r="R67" s="37">
        <f>ROUND($Q67*Settings!$B$3,0)</f>
        <v/>
      </c>
      <c r="S67" s="37">
        <f>ROUND($Q67*Settings!$B$4,0)</f>
        <v/>
      </c>
      <c r="T67" s="37">
        <f>ROUND($Q67*Settings!$B$5,0)</f>
        <v/>
      </c>
      <c r="U67" s="37" t="n"/>
      <c r="V67" s="37" t="n">
        <v>0</v>
      </c>
      <c r="W67" s="37" t="inlineStr">
        <is>
          <t>Happiness</t>
        </is>
      </c>
      <c r="X67" s="37" t="n">
        <v>0.02</v>
      </c>
      <c r="Y67" s="37" t="inlineStr">
        <is>
          <t>Critical Thinking</t>
        </is>
      </c>
      <c r="Z67" s="37" t="n">
        <v>0.02</v>
      </c>
      <c r="AA67"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67" s="37" t="inlineStr">
        <is>
          <t>v6 BUG FIX: this row used to grant Money 6%B ($6) and Career 4-6%B on top of the job tier's own pay and Career, which double-counted Career and contradicted the v5 wage table ($40-$400 per click). Both are now zero here.</t>
        </is>
      </c>
      <c r="AC67" s="37" t="inlineStr">
        <is>
          <t>MVP</t>
        </is>
      </c>
      <c r="AD67" s="37" t="inlineStr">
        <is>
          <t>Work</t>
        </is>
      </c>
      <c r="AE67" s="37" t="n"/>
      <c r="AF67" s="37" t="n"/>
      <c r="AG67" s="37" t="n"/>
      <c r="AH67" s="37" t="n">
        <v>1.35</v>
      </c>
      <c r="AI67" s="37" t="inlineStr">
        <is>
          <t>Money/Career now sourced from job tier; building Money Multiplier added</t>
        </is>
      </c>
    </row>
    <row r="68" ht="15" customHeight="1" s="24">
      <c r="A68" s="23" t="inlineStr">
        <is>
          <t>A067</t>
        </is>
      </c>
      <c r="B68" s="23" t="inlineStr">
        <is>
          <t>High IQ University</t>
        </is>
      </c>
      <c r="C68" s="23" t="inlineStr">
        <is>
          <t>Take Class</t>
        </is>
      </c>
      <c r="D68" s="23" t="inlineStr">
        <is>
          <t>Study</t>
        </is>
      </c>
      <c r="E68" s="23" t="inlineStr">
        <is>
          <t>None</t>
        </is>
      </c>
      <c r="F68" s="23" t="n">
        <v>2</v>
      </c>
      <c r="G68" s="23" t="n">
        <v>0.08</v>
      </c>
      <c r="H68" s="23">
        <f>ROUND($G68*Settings!$B$3,0)</f>
        <v/>
      </c>
      <c r="I68" s="23">
        <f>ROUND($G68*Settings!$B$4,0)</f>
        <v/>
      </c>
      <c r="J68" s="23">
        <f>ROUND($G68*Settings!$B$5,0)</f>
        <v/>
      </c>
      <c r="K68" s="23" t="inlineStr">
        <is>
          <t>Critical Thinking</t>
        </is>
      </c>
      <c r="L68" s="23" t="n">
        <v>0.08</v>
      </c>
      <c r="M68" s="23">
        <f>ROUND($L68*Settings!$B$3,0)</f>
        <v/>
      </c>
      <c r="N68" s="23">
        <f>ROUND($L68*Settings!$B$4,0)</f>
        <v/>
      </c>
      <c r="O68" s="23">
        <f>ROUND($L68*Settings!$B$5,0)</f>
        <v/>
      </c>
      <c r="Q68" s="23" t="n">
        <v>0</v>
      </c>
      <c r="R68" s="23">
        <f>ROUND($Q68*Settings!$B$3,0)</f>
        <v/>
      </c>
      <c r="S68" s="23">
        <f>ROUND($Q68*Settings!$B$4,0)</f>
        <v/>
      </c>
      <c r="T68" s="23">
        <f>ROUND($Q68*Settings!$B$5,0)</f>
        <v/>
      </c>
      <c r="V68" s="23" t="n">
        <v>0</v>
      </c>
      <c r="Z68" s="23" t="n">
        <v>0</v>
      </c>
      <c r="AA68" s="23" t="inlineStr">
        <is>
          <t>REMOVED — see Education_Paths and Job_Progression sheets</t>
        </is>
      </c>
      <c r="AB68" s="23" t="inlineStr">
        <is>
          <t>REMOVED IN v5. Replaced by the 30-course Education_Paths system (courses) / Job_Progression click gates (promotion). Do not implement.</t>
        </is>
      </c>
      <c r="AC68" s="23" t="inlineStr">
        <is>
          <t>REMOVED v5</t>
        </is>
      </c>
    </row>
    <row r="69" ht="15" customHeight="1" s="24">
      <c r="A69" s="23" t="inlineStr">
        <is>
          <t>A068</t>
        </is>
      </c>
      <c r="B69" s="23" t="inlineStr">
        <is>
          <t>High IQ University</t>
        </is>
      </c>
      <c r="C69" s="23" t="inlineStr">
        <is>
          <t>Study Group</t>
        </is>
      </c>
      <c r="D69" s="23" t="inlineStr">
        <is>
          <t>Study/Social</t>
        </is>
      </c>
      <c r="E69" s="23" t="inlineStr">
        <is>
          <t>None</t>
        </is>
      </c>
      <c r="F69" s="23" t="n">
        <v>2</v>
      </c>
      <c r="G69" s="23" t="n">
        <v>0.05</v>
      </c>
      <c r="H69" s="23">
        <f>ROUND($G69*Settings!$B$3,0)</f>
        <v/>
      </c>
      <c r="I69" s="23">
        <f>ROUND($G69*Settings!$B$4,0)</f>
        <v/>
      </c>
      <c r="J69" s="23">
        <f>ROUND($G69*Settings!$B$5,0)</f>
        <v/>
      </c>
      <c r="K69" s="23" t="inlineStr">
        <is>
          <t>Critical Thinking</t>
        </is>
      </c>
      <c r="L69" s="23" t="n">
        <v>0.06</v>
      </c>
      <c r="M69" s="23">
        <f>ROUND($L69*Settings!$B$3,0)</f>
        <v/>
      </c>
      <c r="N69" s="23">
        <f>ROUND($L69*Settings!$B$4,0)</f>
        <v/>
      </c>
      <c r="O69" s="23">
        <f>ROUND($L69*Settings!$B$5,0)</f>
        <v/>
      </c>
      <c r="P69" s="23" t="inlineStr">
        <is>
          <t>Connection</t>
        </is>
      </c>
      <c r="Q69" s="23" t="n">
        <v>0.04</v>
      </c>
      <c r="R69" s="23">
        <f>ROUND($Q69*Settings!$B$3,0)</f>
        <v/>
      </c>
      <c r="S69" s="23">
        <f>ROUND($Q69*Settings!$B$4,0)</f>
        <v/>
      </c>
      <c r="T69" s="23">
        <f>ROUND($Q69*Settings!$B$5,0)</f>
        <v/>
      </c>
      <c r="V69" s="23" t="n">
        <v>0</v>
      </c>
      <c r="Z69" s="23" t="n">
        <v>0</v>
      </c>
      <c r="AA69" s="23" t="inlineStr">
        <is>
          <t>Degree progress</t>
        </is>
      </c>
      <c r="AB69" s="23" t="inlineStr">
        <is>
          <t>Good hybrid</t>
        </is>
      </c>
      <c r="AC69" s="23" t="inlineStr">
        <is>
          <t>MVP</t>
        </is>
      </c>
    </row>
    <row r="70" ht="15" customHeight="1" s="24">
      <c r="A70" s="23" t="inlineStr">
        <is>
          <t>A069</t>
        </is>
      </c>
      <c r="B70" s="23" t="inlineStr">
        <is>
          <t>High IQ University</t>
        </is>
      </c>
      <c r="C70" s="23" t="inlineStr">
        <is>
          <t>Flirt With Classmate</t>
        </is>
      </c>
      <c r="D70" s="23" t="inlineStr">
        <is>
          <t>Social</t>
        </is>
      </c>
      <c r="E70" s="23" t="inlineStr">
        <is>
          <t>None</t>
        </is>
      </c>
      <c r="F70" s="23" t="n">
        <v>1</v>
      </c>
      <c r="G70" s="23" t="n">
        <v>0.02</v>
      </c>
      <c r="H70" s="23">
        <f>ROUND($G70*Settings!$B$3,0)</f>
        <v/>
      </c>
      <c r="I70" s="23">
        <f>ROUND($G70*Settings!$B$4,0)</f>
        <v/>
      </c>
      <c r="J70" s="23">
        <f>ROUND($G70*Settings!$B$5,0)</f>
        <v/>
      </c>
      <c r="K70" s="23" t="inlineStr">
        <is>
          <t>Connection</t>
        </is>
      </c>
      <c r="L70" s="23" t="n">
        <v>0.05</v>
      </c>
      <c r="M70" s="23">
        <f>ROUND($L70*Settings!$B$3,0)</f>
        <v/>
      </c>
      <c r="N70" s="23">
        <f>ROUND($L70*Settings!$B$4,0)</f>
        <v/>
      </c>
      <c r="O70" s="23">
        <f>ROUND($L70*Settings!$B$5,0)</f>
        <v/>
      </c>
      <c r="Q70" s="23" t="n">
        <v>0</v>
      </c>
      <c r="R70" s="23">
        <f>ROUND($Q70*Settings!$B$3,0)</f>
        <v/>
      </c>
      <c r="S70" s="23">
        <f>ROUND($Q70*Settings!$B$4,0)</f>
        <v/>
      </c>
      <c r="T70" s="23">
        <f>ROUND($Q70*Settings!$B$5,0)</f>
        <v/>
      </c>
      <c r="V70" s="23" t="n">
        <v>0</v>
      </c>
      <c r="Z70" s="23" t="n">
        <v>0</v>
      </c>
      <c r="AB70" s="23" t="inlineStr">
        <is>
          <t>No penalty, by request</t>
        </is>
      </c>
      <c r="AC70" s="23" t="inlineStr">
        <is>
          <t>MVP</t>
        </is>
      </c>
    </row>
    <row r="71" ht="15" customHeight="1" s="24">
      <c r="A71" s="23" t="inlineStr">
        <is>
          <t>A070</t>
        </is>
      </c>
      <c r="B71" s="23" t="inlineStr">
        <is>
          <t>High IQ University</t>
        </is>
      </c>
      <c r="C71" s="23" t="inlineStr">
        <is>
          <t>Finish Undergrad</t>
        </is>
      </c>
      <c r="D71" s="23" t="inlineStr">
        <is>
          <t>Milestone</t>
        </is>
      </c>
      <c r="E71" s="23" t="inlineStr">
        <is>
          <t>Degree progress + money</t>
        </is>
      </c>
      <c r="F71" s="23" t="n">
        <v>3</v>
      </c>
      <c r="G71" s="23" t="n">
        <v>0.25</v>
      </c>
      <c r="H71" s="23">
        <f>ROUND($G71*Settings!$B$3,0)</f>
        <v/>
      </c>
      <c r="I71" s="23">
        <f>ROUND($G71*Settings!$B$4,0)</f>
        <v/>
      </c>
      <c r="J71" s="23">
        <f>ROUND($G71*Settings!$B$5,0)</f>
        <v/>
      </c>
      <c r="K71" s="23" t="inlineStr">
        <is>
          <t>Critical Thinking</t>
        </is>
      </c>
      <c r="L71" s="23" t="n">
        <v>0.15</v>
      </c>
      <c r="M71" s="23">
        <f>ROUND($L71*Settings!$B$3,0)</f>
        <v/>
      </c>
      <c r="N71" s="23">
        <f>ROUND($L71*Settings!$B$4,0)</f>
        <v/>
      </c>
      <c r="O71" s="23">
        <f>ROUND($L71*Settings!$B$5,0)</f>
        <v/>
      </c>
      <c r="P71" s="23" t="inlineStr">
        <is>
          <t>Career</t>
        </is>
      </c>
      <c r="Q71" s="23" t="n">
        <v>0.1</v>
      </c>
      <c r="R71" s="23">
        <f>ROUND($Q71*Settings!$B$3,0)</f>
        <v/>
      </c>
      <c r="S71" s="23">
        <f>ROUND($Q71*Settings!$B$4,0)</f>
        <v/>
      </c>
      <c r="T71" s="23">
        <f>ROUND($Q71*Settings!$B$5,0)</f>
        <v/>
      </c>
      <c r="V71" s="23" t="n">
        <v>0</v>
      </c>
      <c r="Z71" s="23" t="n">
        <v>0</v>
      </c>
      <c r="AA71" s="23" t="inlineStr">
        <is>
          <t>REMOVED — see Education_Paths and Job_Progression sheets</t>
        </is>
      </c>
      <c r="AB71" s="23" t="inlineStr">
        <is>
          <t>REMOVED IN v5. Replaced by the 30-course Education_Paths system (courses) / Job_Progression click gates (promotion). Do not implement.</t>
        </is>
      </c>
      <c r="AC71" s="23" t="inlineStr">
        <is>
          <t>REMOVED v5</t>
        </is>
      </c>
    </row>
    <row r="72" ht="15" customHeight="1" s="24">
      <c r="A72" s="23" t="inlineStr">
        <is>
          <t>A071</t>
        </is>
      </c>
      <c r="B72" s="23" t="inlineStr">
        <is>
          <t>High IQ University</t>
        </is>
      </c>
      <c r="C72" s="23" t="inlineStr">
        <is>
          <t>Finish Master's</t>
        </is>
      </c>
      <c r="D72" s="23" t="inlineStr">
        <is>
          <t>Milestone</t>
        </is>
      </c>
      <c r="E72" s="23" t="inlineStr">
        <is>
          <t>Undergrad + money</t>
        </is>
      </c>
      <c r="F72" s="23" t="n">
        <v>3</v>
      </c>
      <c r="G72" s="23" t="n">
        <v>0.45</v>
      </c>
      <c r="H72" s="23">
        <f>ROUND($G72*Settings!$B$3,0)</f>
        <v/>
      </c>
      <c r="I72" s="23">
        <f>ROUND($G72*Settings!$B$4,0)</f>
        <v/>
      </c>
      <c r="J72" s="23">
        <f>ROUND($G72*Settings!$B$5,0)</f>
        <v/>
      </c>
      <c r="K72" s="23" t="inlineStr">
        <is>
          <t>Critical Thinking</t>
        </is>
      </c>
      <c r="L72" s="23" t="n">
        <v>0.2</v>
      </c>
      <c r="M72" s="23">
        <f>ROUND($L72*Settings!$B$3,0)</f>
        <v/>
      </c>
      <c r="N72" s="23">
        <f>ROUND($L72*Settings!$B$4,0)</f>
        <v/>
      </c>
      <c r="O72" s="23">
        <f>ROUND($L72*Settings!$B$5,0)</f>
        <v/>
      </c>
      <c r="P72" s="23" t="inlineStr">
        <is>
          <t>Career</t>
        </is>
      </c>
      <c r="Q72" s="23" t="n">
        <v>0.15</v>
      </c>
      <c r="R72" s="23">
        <f>ROUND($Q72*Settings!$B$3,0)</f>
        <v/>
      </c>
      <c r="S72" s="23">
        <f>ROUND($Q72*Settings!$B$4,0)</f>
        <v/>
      </c>
      <c r="T72" s="23">
        <f>ROUND($Q72*Settings!$B$5,0)</f>
        <v/>
      </c>
      <c r="V72" s="23" t="n">
        <v>0</v>
      </c>
      <c r="Z72" s="23" t="n">
        <v>0</v>
      </c>
      <c r="AA72" s="23" t="inlineStr">
        <is>
          <t>REMOVED — see Education_Paths and Job_Progression sheets</t>
        </is>
      </c>
      <c r="AB72" s="23" t="inlineStr">
        <is>
          <t>REMOVED IN v5. Replaced by the 30-course Education_Paths system (courses) / Job_Progression click gates (promotion). Do not implement.</t>
        </is>
      </c>
      <c r="AC72" s="23" t="inlineStr">
        <is>
          <t>REMOVED v5</t>
        </is>
      </c>
    </row>
    <row r="73" ht="15" customHeight="1" s="24">
      <c r="A73" s="23" t="inlineStr">
        <is>
          <t>A072</t>
        </is>
      </c>
      <c r="B73" s="23" t="inlineStr">
        <is>
          <t>High IQ University</t>
        </is>
      </c>
      <c r="C73" s="23" t="inlineStr">
        <is>
          <t>Finish PhD</t>
        </is>
      </c>
      <c r="D73" s="23" t="inlineStr">
        <is>
          <t>Milestone</t>
        </is>
      </c>
      <c r="E73" s="23" t="inlineStr">
        <is>
          <t>Master's + money</t>
        </is>
      </c>
      <c r="F73" s="23" t="n">
        <v>3</v>
      </c>
      <c r="G73" s="23" t="n">
        <v>0.8</v>
      </c>
      <c r="H73" s="23">
        <f>ROUND($G73*Settings!$B$3,0)</f>
        <v/>
      </c>
      <c r="I73" s="23">
        <f>ROUND($G73*Settings!$B$4,0)</f>
        <v/>
      </c>
      <c r="J73" s="23">
        <f>ROUND($G73*Settings!$B$5,0)</f>
        <v/>
      </c>
      <c r="K73" s="23" t="inlineStr">
        <is>
          <t>Critical Thinking</t>
        </is>
      </c>
      <c r="L73" s="23" t="n">
        <v>0.25</v>
      </c>
      <c r="M73" s="23">
        <f>ROUND($L73*Settings!$B$3,0)</f>
        <v/>
      </c>
      <c r="N73" s="23">
        <f>ROUND($L73*Settings!$B$4,0)</f>
        <v/>
      </c>
      <c r="O73" s="23">
        <f>ROUND($L73*Settings!$B$5,0)</f>
        <v/>
      </c>
      <c r="P73" s="23" t="inlineStr">
        <is>
          <t>Career</t>
        </is>
      </c>
      <c r="Q73" s="23" t="n">
        <v>0.2</v>
      </c>
      <c r="R73" s="23">
        <f>ROUND($Q73*Settings!$B$3,0)</f>
        <v/>
      </c>
      <c r="S73" s="23">
        <f>ROUND($Q73*Settings!$B$4,0)</f>
        <v/>
      </c>
      <c r="T73" s="23">
        <f>ROUND($Q73*Settings!$B$5,0)</f>
        <v/>
      </c>
      <c r="V73" s="23" t="n">
        <v>0</v>
      </c>
      <c r="Z73" s="23" t="n">
        <v>0</v>
      </c>
      <c r="AA73" s="23" t="inlineStr">
        <is>
          <t>REMOVED — see Education_Paths and Job_Progression sheets</t>
        </is>
      </c>
      <c r="AB73" s="23" t="inlineStr">
        <is>
          <t>REMOVED IN v5. Replaced by the 30-course Education_Paths system (courses) / Job_Progression click gates (promotion). Do not implement.</t>
        </is>
      </c>
      <c r="AC73" s="23" t="inlineStr">
        <is>
          <t>REMOVED v5</t>
        </is>
      </c>
    </row>
    <row r="74" ht="15" customHeight="1" s="24">
      <c r="A74" s="23" t="inlineStr">
        <is>
          <t>A073</t>
        </is>
      </c>
      <c r="B74" s="23" t="inlineStr">
        <is>
          <t>High IQ University</t>
        </is>
      </c>
      <c r="C74" s="23" t="inlineStr">
        <is>
          <t>Cram All Night</t>
        </is>
      </c>
      <c r="D74" s="23" t="inlineStr">
        <is>
          <t>Study</t>
        </is>
      </c>
      <c r="E74" s="23" t="inlineStr">
        <is>
          <t>None</t>
        </is>
      </c>
      <c r="F74" s="23" t="n">
        <v>2</v>
      </c>
      <c r="G74" s="23" t="n">
        <v>0.04</v>
      </c>
      <c r="H74" s="23">
        <f>ROUND($G74*Settings!$B$3,0)</f>
        <v/>
      </c>
      <c r="I74" s="23">
        <f>ROUND($G74*Settings!$B$4,0)</f>
        <v/>
      </c>
      <c r="J74" s="23">
        <f>ROUND($G74*Settings!$B$5,0)</f>
        <v/>
      </c>
      <c r="K74" s="23" t="inlineStr">
        <is>
          <t>Critical Thinking</t>
        </is>
      </c>
      <c r="L74" s="23" t="n">
        <v>0.1</v>
      </c>
      <c r="M74" s="23">
        <f>ROUND($L74*Settings!$B$3,0)</f>
        <v/>
      </c>
      <c r="N74" s="23">
        <f>ROUND($L74*Settings!$B$4,0)</f>
        <v/>
      </c>
      <c r="O74" s="23">
        <f>ROUND($L74*Settings!$B$5,0)</f>
        <v/>
      </c>
      <c r="Q74" s="23" t="n">
        <v>0</v>
      </c>
      <c r="R74" s="23">
        <f>ROUND($Q74*Settings!$B$3,0)</f>
        <v/>
      </c>
      <c r="S74" s="23">
        <f>ROUND($Q74*Settings!$B$4,0)</f>
        <v/>
      </c>
      <c r="T74" s="23">
        <f>ROUND($Q74*Settings!$B$5,0)</f>
        <v/>
      </c>
      <c r="V74" s="23" t="n">
        <v>0</v>
      </c>
      <c r="W74" s="23" t="inlineStr">
        <is>
          <t>Health</t>
        </is>
      </c>
      <c r="X74" s="23" t="n">
        <v>0.04</v>
      </c>
      <c r="Z74" s="23" t="n">
        <v>0</v>
      </c>
      <c r="AA74" s="23" t="inlineStr">
        <is>
          <t>Degree progress</t>
        </is>
      </c>
      <c r="AB74" s="23" t="inlineStr">
        <is>
          <t>Fast but unhealthy</t>
        </is>
      </c>
      <c r="AC74" s="23" t="inlineStr">
        <is>
          <t>MVP</t>
        </is>
      </c>
    </row>
    <row r="75" ht="15" customHeight="1" s="24">
      <c r="A75" s="23" t="inlineStr">
        <is>
          <t>A074</t>
        </is>
      </c>
      <c r="B75" s="23" t="inlineStr">
        <is>
          <t>High IQ University</t>
        </is>
      </c>
      <c r="C75" s="23" t="inlineStr">
        <is>
          <t>Debate Professor</t>
        </is>
      </c>
      <c r="D75" s="23" t="inlineStr">
        <is>
          <t>Study</t>
        </is>
      </c>
      <c r="E75" s="23" t="inlineStr">
        <is>
          <t>Critical Thinking threshold</t>
        </is>
      </c>
      <c r="F75" s="23" t="n">
        <v>1</v>
      </c>
      <c r="G75" s="23" t="n">
        <v>0</v>
      </c>
      <c r="H75" s="23">
        <f>ROUND($G75*Settings!$B$3,0)</f>
        <v/>
      </c>
      <c r="I75" s="23">
        <f>ROUND($G75*Settings!$B$4,0)</f>
        <v/>
      </c>
      <c r="J75" s="23">
        <f>ROUND($G75*Settings!$B$5,0)</f>
        <v/>
      </c>
      <c r="K75" s="23" t="inlineStr">
        <is>
          <t>Critical Thinking</t>
        </is>
      </c>
      <c r="L75" s="23" t="n">
        <v>0.07000000000000001</v>
      </c>
      <c r="M75" s="23">
        <f>ROUND($L75*Settings!$B$3,0)</f>
        <v/>
      </c>
      <c r="N75" s="23">
        <f>ROUND($L75*Settings!$B$4,0)</f>
        <v/>
      </c>
      <c r="O75" s="23">
        <f>ROUND($L75*Settings!$B$5,0)</f>
        <v/>
      </c>
      <c r="P75" s="23" t="inlineStr">
        <is>
          <t>Coolness Factor</t>
        </is>
      </c>
      <c r="Q75" s="23" t="n">
        <v>0.02</v>
      </c>
      <c r="R75" s="23">
        <f>ROUND($Q75*Settings!$B$3,0)</f>
        <v/>
      </c>
      <c r="S75" s="23">
        <f>ROUND($Q75*Settings!$B$4,0)</f>
        <v/>
      </c>
      <c r="T75" s="23">
        <f>ROUND($Q75*Settings!$B$5,0)</f>
        <v/>
      </c>
      <c r="V75" s="23" t="n">
        <v>0</v>
      </c>
      <c r="Z75" s="23" t="n">
        <v>0</v>
      </c>
      <c r="AB75" s="23" t="inlineStr">
        <is>
          <t>Nerd coolness</t>
        </is>
      </c>
      <c r="AC75" s="23" t="inlineStr">
        <is>
          <t>MVP</t>
        </is>
      </c>
    </row>
    <row r="76" ht="15" customHeight="1" s="24">
      <c r="A76" s="37" t="inlineStr">
        <is>
          <t>A075</t>
        </is>
      </c>
      <c r="B76" s="37" t="inlineStr">
        <is>
          <t>High IQ University</t>
        </is>
      </c>
      <c r="C76" s="37" t="inlineStr">
        <is>
          <t>Work</t>
        </is>
      </c>
      <c r="D76" s="37" t="inlineStr">
        <is>
          <t>Work</t>
        </is>
      </c>
      <c r="E76" s="37" t="inlineStr">
        <is>
          <t>Job assigned at Corporate Soul Exchange</t>
        </is>
      </c>
      <c r="F76" s="37" t="n">
        <v>2</v>
      </c>
      <c r="G76" s="37" t="n">
        <v>0</v>
      </c>
      <c r="H76" s="37">
        <f>ROUND($G76*Settings!$B$3,0)</f>
        <v/>
      </c>
      <c r="I76" s="37">
        <f>ROUND($G76*Settings!$B$4,0)</f>
        <v/>
      </c>
      <c r="J76" s="37">
        <f>ROUND($G76*Settings!$B$5,0)</f>
        <v/>
      </c>
      <c r="K76" s="37" t="inlineStr">
        <is>
          <t>From job tier</t>
        </is>
      </c>
      <c r="L76" s="37" t="n">
        <v>0</v>
      </c>
      <c r="M76" s="37">
        <f>ROUND($L76*Settings!$B$3,0)</f>
        <v/>
      </c>
      <c r="N76" s="37">
        <f>ROUND($L76*Settings!$B$4,0)</f>
        <v/>
      </c>
      <c r="O76" s="37">
        <f>ROUND($L76*Settings!$B$5,0)</f>
        <v/>
      </c>
      <c r="P76" s="37" t="inlineStr">
        <is>
          <t>From job tier</t>
        </is>
      </c>
      <c r="Q76" s="37" t="n">
        <v>0</v>
      </c>
      <c r="R76" s="37">
        <f>ROUND($Q76*Settings!$B$3,0)</f>
        <v/>
      </c>
      <c r="S76" s="37">
        <f>ROUND($Q76*Settings!$B$4,0)</f>
        <v/>
      </c>
      <c r="T76" s="37">
        <f>ROUND($Q76*Settings!$B$5,0)</f>
        <v/>
      </c>
      <c r="U76" s="37" t="n"/>
      <c r="V76" s="37" t="n">
        <v>0</v>
      </c>
      <c r="W76" s="37" t="inlineStr">
        <is>
          <t>Health</t>
        </is>
      </c>
      <c r="X76" s="37" t="n">
        <v>0.02</v>
      </c>
      <c r="Y76" s="37" t="inlineStr">
        <is>
          <t>Happiness</t>
        </is>
      </c>
      <c r="Z76" s="37" t="n">
        <v>0.02</v>
      </c>
      <c r="AA76"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76" s="37" t="inlineStr">
        <is>
          <t>v6 BUG FIX: this row used to grant Money 6%B ($6) and Career 4-6%B on top of the job tier's own pay and Career, which double-counted Career and contradicted the v5 wage table ($40-$400 per click). Both are now zero here.</t>
        </is>
      </c>
      <c r="AC76" s="37" t="inlineStr">
        <is>
          <t>MVP</t>
        </is>
      </c>
      <c r="AD76" s="37" t="inlineStr">
        <is>
          <t>Work</t>
        </is>
      </c>
      <c r="AE76" s="37" t="n"/>
      <c r="AF76" s="37" t="n"/>
      <c r="AG76" s="37" t="n"/>
      <c r="AH76" s="37" t="n">
        <v>1.1</v>
      </c>
      <c r="AI76" s="37" t="inlineStr">
        <is>
          <t>Money/Career now sourced from job tier; building Money Multiplier added</t>
        </is>
      </c>
    </row>
    <row r="77" ht="15" customHeight="1" s="24">
      <c r="A77" s="37" t="inlineStr">
        <is>
          <t>A076</t>
        </is>
      </c>
      <c r="B77" s="37" t="inlineStr">
        <is>
          <t>Corporate Soul Exchange</t>
        </is>
      </c>
      <c r="C77" s="37" t="inlineStr">
        <is>
          <t>Get / Change Job</t>
        </is>
      </c>
      <c r="D77" s="37" t="inlineStr">
        <is>
          <t>Job</t>
        </is>
      </c>
      <c r="E77" s="37" t="inlineStr">
        <is>
          <t>Meet clothing/education requirements</t>
        </is>
      </c>
      <c r="F77" s="37" t="n">
        <v>1</v>
      </c>
      <c r="G77" s="37" t="n">
        <v>0</v>
      </c>
      <c r="H77" s="37">
        <f>ROUND($G77*Settings!$B$3,0)</f>
        <v/>
      </c>
      <c r="I77" s="37">
        <f>ROUND($G77*Settings!$B$4,0)</f>
        <v/>
      </c>
      <c r="J77" s="37">
        <f>ROUND($G77*Settings!$B$5,0)</f>
        <v/>
      </c>
      <c r="K77" s="37" t="inlineStr">
        <is>
          <t>None</t>
        </is>
      </c>
      <c r="L77" s="37" t="n">
        <v>0</v>
      </c>
      <c r="M77" s="37">
        <f>ROUND($L77*Settings!$B$3,0)</f>
        <v/>
      </c>
      <c r="N77" s="37">
        <f>ROUND($L77*Settings!$B$4,0)</f>
        <v/>
      </c>
      <c r="O77" s="37">
        <f>ROUND($L77*Settings!$B$5,0)</f>
        <v/>
      </c>
      <c r="P77" s="37" t="n"/>
      <c r="Q77" s="37" t="n">
        <v>0</v>
      </c>
      <c r="R77" s="37">
        <f>ROUND($Q77*Settings!$B$3,0)</f>
        <v/>
      </c>
      <c r="S77" s="37">
        <f>ROUND($Q77*Settings!$B$4,0)</f>
        <v/>
      </c>
      <c r="T77" s="37">
        <f>ROUND($Q77*Settings!$B$5,0)</f>
        <v/>
      </c>
      <c r="U77" s="37" t="n"/>
      <c r="V77" s="37" t="n">
        <v>0</v>
      </c>
      <c r="W77" s="37" t="n"/>
      <c r="X77" s="37" t="n"/>
      <c r="Y77" s="37" t="n"/>
      <c r="Z77" s="37" t="n">
        <v>0</v>
      </c>
      <c r="AA77" s="37" t="inlineStr">
        <is>
          <t>Selects current job tier</t>
        </is>
      </c>
      <c r="AB77" s="37" t="inlineStr">
        <is>
          <t>v6: no longer grants Career. Changing job is a menu action, not an achievement.</t>
        </is>
      </c>
      <c r="AC77" s="37" t="inlineStr">
        <is>
          <t>MVP</t>
        </is>
      </c>
      <c r="AD77" s="37" t="n"/>
      <c r="AE77" s="37" t="n"/>
      <c r="AF77" s="37" t="n"/>
      <c r="AG77" s="37" t="n"/>
      <c r="AH77" s="37" t="n"/>
      <c r="AI77" s="37" t="inlineStr">
        <is>
          <t>Career 0.025 -&gt; 0</t>
        </is>
      </c>
    </row>
    <row r="78" ht="15" customHeight="1" s="24">
      <c r="A78" s="37" t="inlineStr">
        <is>
          <t>A077</t>
        </is>
      </c>
      <c r="B78" s="37" t="inlineStr">
        <is>
          <t>Corporate Soul Exchange</t>
        </is>
      </c>
      <c r="C78" s="37" t="inlineStr">
        <is>
          <t>Work</t>
        </is>
      </c>
      <c r="D78" s="37" t="inlineStr">
        <is>
          <t>Work</t>
        </is>
      </c>
      <c r="E78" s="37" t="inlineStr">
        <is>
          <t>Current job assigned</t>
        </is>
      </c>
      <c r="F78" s="37" t="n">
        <v>2</v>
      </c>
      <c r="G78" s="37" t="n">
        <v>0</v>
      </c>
      <c r="H78" s="37">
        <f>ROUND($G78*Settings!$B$3,0)</f>
        <v/>
      </c>
      <c r="I78" s="37">
        <f>ROUND($G78*Settings!$B$4,0)</f>
        <v/>
      </c>
      <c r="J78" s="37">
        <f>ROUND($G78*Settings!$B$5,0)</f>
        <v/>
      </c>
      <c r="K78" s="37" t="inlineStr">
        <is>
          <t>From job tier</t>
        </is>
      </c>
      <c r="L78" s="37" t="n">
        <v>0</v>
      </c>
      <c r="M78" s="37">
        <f>ROUND($L78*Settings!$B$3,0)</f>
        <v/>
      </c>
      <c r="N78" s="37">
        <f>ROUND($L78*Settings!$B$4,0)</f>
        <v/>
      </c>
      <c r="O78" s="37">
        <f>ROUND($L78*Settings!$B$5,0)</f>
        <v/>
      </c>
      <c r="P78" s="37" t="inlineStr">
        <is>
          <t>From job tier</t>
        </is>
      </c>
      <c r="Q78" s="37" t="n">
        <v>0</v>
      </c>
      <c r="R78" s="37">
        <f>ROUND($Q78*Settings!$B$3,0)</f>
        <v/>
      </c>
      <c r="S78" s="37">
        <f>ROUND($Q78*Settings!$B$4,0)</f>
        <v/>
      </c>
      <c r="T78" s="37">
        <f>ROUND($Q78*Settings!$B$5,0)</f>
        <v/>
      </c>
      <c r="U78" s="37" t="n"/>
      <c r="V78" s="37" t="n">
        <v>0</v>
      </c>
      <c r="W78" s="37" t="inlineStr">
        <is>
          <t>Health</t>
        </is>
      </c>
      <c r="X78" s="37" t="n">
        <v>0.03</v>
      </c>
      <c r="Y78" s="37" t="inlineStr">
        <is>
          <t>Happiness</t>
        </is>
      </c>
      <c r="Z78" s="37" t="n">
        <v>0.03</v>
      </c>
      <c r="AA78"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78" s="37" t="inlineStr">
        <is>
          <t>v6 BUG FIX: this row used to grant Money 6%B ($6) and Career 4-6%B on top of the job tier's own pay and Career, which double-counted Career and contradicted the v5 wage table ($40-$400 per click). Both are now zero here.</t>
        </is>
      </c>
      <c r="AC78" s="37" t="inlineStr">
        <is>
          <t>MVP</t>
        </is>
      </c>
      <c r="AD78" s="37" t="inlineStr">
        <is>
          <t>Work</t>
        </is>
      </c>
      <c r="AE78" s="37" t="n"/>
      <c r="AF78" s="37" t="n"/>
      <c r="AG78" s="37" t="n"/>
      <c r="AH78" s="37" t="n">
        <v>1</v>
      </c>
      <c r="AI78" s="37" t="inlineStr">
        <is>
          <t>Money/Career now sourced from job tier; building Money Multiplier added</t>
        </is>
      </c>
    </row>
    <row r="79" ht="15" customHeight="1" s="24">
      <c r="A79" s="37" t="inlineStr">
        <is>
          <t>A078</t>
        </is>
      </c>
      <c r="B79" s="37" t="inlineStr">
        <is>
          <t>Corporate Soul Exchange</t>
        </is>
      </c>
      <c r="C79" s="37" t="inlineStr">
        <is>
          <t>Update Resume Secretly</t>
        </is>
      </c>
      <c r="D79" s="37" t="inlineStr">
        <is>
          <t>Career</t>
        </is>
      </c>
      <c r="E79" s="37" t="inlineStr">
        <is>
          <t>Computer recommended</t>
        </is>
      </c>
      <c r="F79" s="37" t="n">
        <v>1</v>
      </c>
      <c r="G79" s="37" t="n">
        <v>0</v>
      </c>
      <c r="H79" s="37">
        <f>ROUND($G79*Settings!$B$3,0)</f>
        <v/>
      </c>
      <c r="I79" s="37">
        <f>ROUND($G79*Settings!$B$4,0)</f>
        <v/>
      </c>
      <c r="J79" s="37">
        <f>ROUND($G79*Settings!$B$5,0)</f>
        <v/>
      </c>
      <c r="K79" s="37" t="inlineStr">
        <is>
          <t>Career</t>
        </is>
      </c>
      <c r="L79" s="37" t="n">
        <v>0.02</v>
      </c>
      <c r="M79" s="37">
        <f>ROUND($L79*Settings!$B$3,0)</f>
        <v/>
      </c>
      <c r="N79" s="37">
        <f>ROUND($L79*Settings!$B$4,0)</f>
        <v/>
      </c>
      <c r="O79" s="37">
        <f>ROUND($L79*Settings!$B$5,0)</f>
        <v/>
      </c>
      <c r="P79" s="37" t="inlineStr">
        <is>
          <t>Critical Thinking</t>
        </is>
      </c>
      <c r="Q79" s="37" t="n">
        <v>0.03</v>
      </c>
      <c r="R79" s="37">
        <f>ROUND($Q79*Settings!$B$3,0)</f>
        <v/>
      </c>
      <c r="S79" s="37">
        <f>ROUND($Q79*Settings!$B$4,0)</f>
        <v/>
      </c>
      <c r="T79" s="37">
        <f>ROUND($Q79*Settings!$B$5,0)</f>
        <v/>
      </c>
      <c r="U79" s="37" t="n"/>
      <c r="V79" s="37" t="n">
        <v>0</v>
      </c>
      <c r="W79" s="37" t="n"/>
      <c r="X79" s="37" t="n"/>
      <c r="Y79" s="37" t="n"/>
      <c r="Z79" s="37" t="n">
        <v>0</v>
      </c>
      <c r="AA79" s="37" t="n"/>
      <c r="AB79" s="37" t="inlineStr">
        <is>
          <t>v6: Career cut from 5%B to 2%B and limited to once per turn. At 1 Time Unit and no money cost this was six uses a turn, +30 Career per turn at Short, and maxed Career in under four turns with no job, no education and no money.</t>
        </is>
      </c>
      <c r="AC79" s="37" t="inlineStr">
        <is>
          <t>MVP</t>
        </is>
      </c>
      <c r="AD79" s="37" t="n"/>
      <c r="AE79" s="37" t="n"/>
      <c r="AF79" s="37" t="inlineStr">
        <is>
          <t>1 per turn</t>
        </is>
      </c>
      <c r="AG79" s="37" t="n"/>
      <c r="AH79" s="37" t="n"/>
      <c r="AI79" s="37" t="inlineStr">
        <is>
          <t>Career 0.05 -&gt; 0.02; max 1 per turn</t>
        </is>
      </c>
    </row>
    <row r="80" ht="15" customHeight="1" s="24">
      <c r="A80" s="37" t="inlineStr">
        <is>
          <t>A079</t>
        </is>
      </c>
      <c r="B80" s="37" t="inlineStr">
        <is>
          <t>Corporate Soul Exchange</t>
        </is>
      </c>
      <c r="C80" s="37" t="inlineStr">
        <is>
          <t>Attend Team Building Event</t>
        </is>
      </c>
      <c r="D80" s="37" t="inlineStr">
        <is>
          <t>Work/Social</t>
        </is>
      </c>
      <c r="E80" s="37" t="inlineStr">
        <is>
          <t>Current job</t>
        </is>
      </c>
      <c r="F80" s="37" t="n">
        <v>2</v>
      </c>
      <c r="G80" s="37" t="n">
        <v>0</v>
      </c>
      <c r="H80" s="37">
        <f>ROUND($G80*Settings!$B$3,0)</f>
        <v/>
      </c>
      <c r="I80" s="37">
        <f>ROUND($G80*Settings!$B$4,0)</f>
        <v/>
      </c>
      <c r="J80" s="37">
        <f>ROUND($G80*Settings!$B$5,0)</f>
        <v/>
      </c>
      <c r="K80" s="37" t="inlineStr">
        <is>
          <t>Career</t>
        </is>
      </c>
      <c r="L80" s="37" t="n">
        <v>0.03</v>
      </c>
      <c r="M80" s="37">
        <f>ROUND($L80*Settings!$B$3,0)</f>
        <v/>
      </c>
      <c r="N80" s="37">
        <f>ROUND($L80*Settings!$B$4,0)</f>
        <v/>
      </c>
      <c r="O80" s="37">
        <f>ROUND($L80*Settings!$B$5,0)</f>
        <v/>
      </c>
      <c r="P80" s="37" t="inlineStr">
        <is>
          <t>Critical Thinking</t>
        </is>
      </c>
      <c r="Q80" s="37" t="n">
        <v>0.03</v>
      </c>
      <c r="R80" s="37">
        <f>ROUND($Q80*Settings!$B$3,0)</f>
        <v/>
      </c>
      <c r="S80" s="37">
        <f>ROUND($Q80*Settings!$B$4,0)</f>
        <v/>
      </c>
      <c r="T80" s="37">
        <f>ROUND($Q80*Settings!$B$5,0)</f>
        <v/>
      </c>
      <c r="U80" s="37" t="n"/>
      <c r="V80" s="37" t="n">
        <v>0</v>
      </c>
      <c r="W80" s="37" t="inlineStr">
        <is>
          <t>Happiness</t>
        </is>
      </c>
      <c r="X80" s="37" t="n">
        <v>0.04</v>
      </c>
      <c r="Y80" s="37" t="inlineStr">
        <is>
          <t>Connection</t>
        </is>
      </c>
      <c r="Z80" s="37" t="n">
        <v>0.03</v>
      </c>
      <c r="AA80" s="37" t="n"/>
      <c r="AB80" s="37" t="inlineStr">
        <is>
          <t>Fake socializing hurts real connection</t>
        </is>
      </c>
      <c r="AC80" s="37" t="inlineStr">
        <is>
          <t>MVP</t>
        </is>
      </c>
      <c r="AD80" s="37" t="n"/>
      <c r="AE80" s="37" t="n"/>
      <c r="AF80" s="37" t="inlineStr">
        <is>
          <t>1 per turn</t>
        </is>
      </c>
      <c r="AG80" s="37" t="n"/>
      <c r="AH80" s="37" t="n"/>
      <c r="AI80" s="37" t="inlineStr">
        <is>
          <t>Career 0.05 -&gt; 0.03; max 1 per turn</t>
        </is>
      </c>
    </row>
    <row r="81" ht="15" customHeight="1" s="24">
      <c r="A81" s="23" t="inlineStr">
        <is>
          <t>A080</t>
        </is>
      </c>
      <c r="B81" s="23" t="inlineStr">
        <is>
          <t>Corporate Soul Exchange</t>
        </is>
      </c>
      <c r="C81" s="23" t="inlineStr">
        <is>
          <t>Join Union Meeting to Fight Evil Corporation</t>
        </is>
      </c>
      <c r="D81" s="23" t="inlineStr">
        <is>
          <t>Social</t>
        </is>
      </c>
      <c r="E81" s="23" t="inlineStr">
        <is>
          <t>Current job</t>
        </is>
      </c>
      <c r="F81" s="23" t="n">
        <v>2</v>
      </c>
      <c r="G81" s="23" t="n">
        <v>0</v>
      </c>
      <c r="H81" s="23">
        <f>ROUND($G81*Settings!$B$3,0)</f>
        <v/>
      </c>
      <c r="I81" s="23">
        <f>ROUND($G81*Settings!$B$4,0)</f>
        <v/>
      </c>
      <c r="J81" s="23">
        <f>ROUND($G81*Settings!$B$5,0)</f>
        <v/>
      </c>
      <c r="K81" s="23" t="inlineStr">
        <is>
          <t>Connection</t>
        </is>
      </c>
      <c r="L81" s="23" t="n">
        <v>0.06</v>
      </c>
      <c r="M81" s="23">
        <f>ROUND($L81*Settings!$B$3,0)</f>
        <v/>
      </c>
      <c r="N81" s="23">
        <f>ROUND($L81*Settings!$B$4,0)</f>
        <v/>
      </c>
      <c r="O81" s="23">
        <f>ROUND($L81*Settings!$B$5,0)</f>
        <v/>
      </c>
      <c r="P81" s="23" t="inlineStr">
        <is>
          <t>Enlightenment</t>
        </is>
      </c>
      <c r="Q81" s="23" t="n">
        <v>0.04</v>
      </c>
      <c r="R81" s="23">
        <f>ROUND($Q81*Settings!$B$3,0)</f>
        <v/>
      </c>
      <c r="S81" s="23">
        <f>ROUND($Q81*Settings!$B$4,0)</f>
        <v/>
      </c>
      <c r="T81" s="23">
        <f>ROUND($Q81*Settings!$B$5,0)</f>
        <v/>
      </c>
      <c r="V81" s="23" t="n">
        <v>0</v>
      </c>
      <c r="W81" s="23" t="inlineStr">
        <is>
          <t>Career</t>
        </is>
      </c>
      <c r="X81" s="23" t="n">
        <v>0.025</v>
      </c>
      <c r="Z81" s="23" t="n">
        <v>0</v>
      </c>
      <c r="AB81" s="23" t="inlineStr">
        <is>
          <t>Connection route added here</t>
        </is>
      </c>
      <c r="AC81" s="23" t="inlineStr">
        <is>
          <t>MVP</t>
        </is>
      </c>
    </row>
    <row r="82" ht="15" customHeight="1" s="24">
      <c r="A82" s="23" t="inlineStr">
        <is>
          <t>A081</t>
        </is>
      </c>
      <c r="B82" s="23" t="inlineStr">
        <is>
          <t>Corporate Soul Exchange</t>
        </is>
      </c>
      <c r="C82" s="23" t="inlineStr">
        <is>
          <t>Use Bathroom Timer</t>
        </is>
      </c>
      <c r="D82" s="23" t="inlineStr">
        <is>
          <t>Recovery</t>
        </is>
      </c>
      <c r="E82" s="23" t="inlineStr">
        <is>
          <t>Current job</t>
        </is>
      </c>
      <c r="F82" s="23" t="n">
        <v>1</v>
      </c>
      <c r="G82" s="23" t="n">
        <v>0</v>
      </c>
      <c r="H82" s="23">
        <f>ROUND($G82*Settings!$B$3,0)</f>
        <v/>
      </c>
      <c r="I82" s="23">
        <f>ROUND($G82*Settings!$B$4,0)</f>
        <v/>
      </c>
      <c r="J82" s="23">
        <f>ROUND($G82*Settings!$B$5,0)</f>
        <v/>
      </c>
      <c r="K82" s="23" t="inlineStr">
        <is>
          <t>Health</t>
        </is>
      </c>
      <c r="L82" s="23" t="n">
        <v>0.025</v>
      </c>
      <c r="M82" s="23">
        <f>ROUND($L82*Settings!$B$3,0)</f>
        <v/>
      </c>
      <c r="N82" s="23">
        <f>ROUND($L82*Settings!$B$4,0)</f>
        <v/>
      </c>
      <c r="O82" s="23">
        <f>ROUND($L82*Settings!$B$5,0)</f>
        <v/>
      </c>
      <c r="P82" s="23" t="inlineStr">
        <is>
          <t>Happiness</t>
        </is>
      </c>
      <c r="Q82" s="23" t="n">
        <v>0.02</v>
      </c>
      <c r="R82" s="23">
        <f>ROUND($Q82*Settings!$B$3,0)</f>
        <v/>
      </c>
      <c r="S82" s="23">
        <f>ROUND($Q82*Settings!$B$4,0)</f>
        <v/>
      </c>
      <c r="T82" s="23">
        <f>ROUND($Q82*Settings!$B$5,0)</f>
        <v/>
      </c>
      <c r="V82" s="23" t="n">
        <v>0</v>
      </c>
      <c r="Z82" s="23" t="n">
        <v>0</v>
      </c>
      <c r="AA82" s="23" t="inlineStr">
        <is>
          <t>Counts as mini-relax</t>
        </is>
      </c>
      <c r="AB82" s="23" t="inlineStr">
        <is>
          <t>Tiny recovery</t>
        </is>
      </c>
      <c r="AC82" s="23" t="inlineStr">
        <is>
          <t>MVP</t>
        </is>
      </c>
      <c r="AD82" s="23" t="inlineStr">
        <is>
          <t>Relax</t>
        </is>
      </c>
    </row>
    <row r="83" ht="15" customHeight="1" s="24">
      <c r="A83" s="23" t="inlineStr">
        <is>
          <t>A082</t>
        </is>
      </c>
      <c r="B83" s="23" t="inlineStr">
        <is>
          <t>Corporate Soul Exchange</t>
        </is>
      </c>
      <c r="C83" s="23" t="inlineStr">
        <is>
          <t>Max Out Benefits</t>
        </is>
      </c>
      <c r="D83" s="23" t="inlineStr">
        <is>
          <t>Recovery</t>
        </is>
      </c>
      <c r="E83" s="23" t="inlineStr">
        <is>
          <t>Current job + benefits unlocked</t>
        </is>
      </c>
      <c r="F83" s="23" t="n">
        <v>1</v>
      </c>
      <c r="G83" s="23" t="n">
        <v>0</v>
      </c>
      <c r="H83" s="23">
        <f>ROUND($G83*Settings!$B$3,0)</f>
        <v/>
      </c>
      <c r="I83" s="23">
        <f>ROUND($G83*Settings!$B$4,0)</f>
        <v/>
      </c>
      <c r="J83" s="23">
        <f>ROUND($G83*Settings!$B$5,0)</f>
        <v/>
      </c>
      <c r="K83" s="23" t="inlineStr">
        <is>
          <t>Happiness</t>
        </is>
      </c>
      <c r="L83" s="23" t="n">
        <v>0.06</v>
      </c>
      <c r="M83" s="23">
        <f>ROUND($L83*Settings!$B$3,0)</f>
        <v/>
      </c>
      <c r="N83" s="23">
        <f>ROUND($L83*Settings!$B$4,0)</f>
        <v/>
      </c>
      <c r="O83" s="23">
        <f>ROUND($L83*Settings!$B$5,0)</f>
        <v/>
      </c>
      <c r="P83" s="23" t="inlineStr">
        <is>
          <t>Health</t>
        </is>
      </c>
      <c r="Q83" s="23" t="n">
        <v>0.06</v>
      </c>
      <c r="R83" s="23">
        <f>ROUND($Q83*Settings!$B$3,0)</f>
        <v/>
      </c>
      <c r="S83" s="23">
        <f>ROUND($Q83*Settings!$B$4,0)</f>
        <v/>
      </c>
      <c r="T83" s="23">
        <f>ROUND($Q83*Settings!$B$5,0)</f>
        <v/>
      </c>
      <c r="V83" s="23" t="n">
        <v>0</v>
      </c>
      <c r="Z83" s="23" t="n">
        <v>0</v>
      </c>
      <c r="AB83" s="23" t="inlineStr">
        <is>
          <t>Good anti-burnout</t>
        </is>
      </c>
      <c r="AC83" s="23" t="inlineStr">
        <is>
          <t>MVP</t>
        </is>
      </c>
    </row>
    <row r="84" ht="15" customHeight="1" s="24">
      <c r="A84" s="23" t="inlineStr">
        <is>
          <t>A083</t>
        </is>
      </c>
      <c r="B84" s="23" t="inlineStr">
        <is>
          <t>Corporate Soul Exchange</t>
        </is>
      </c>
      <c r="C84" s="23" t="inlineStr">
        <is>
          <t>Quit Before Benefits Start</t>
        </is>
      </c>
      <c r="D84" s="23" t="inlineStr">
        <is>
          <t>Career Choice</t>
        </is>
      </c>
      <c r="E84" s="23" t="inlineStr">
        <is>
          <t>Current job</t>
        </is>
      </c>
      <c r="F84" s="23" t="n">
        <v>1</v>
      </c>
      <c r="G84" s="23" t="n">
        <v>0</v>
      </c>
      <c r="H84" s="23">
        <f>ROUND($G84*Settings!$B$3,0)</f>
        <v/>
      </c>
      <c r="I84" s="23">
        <f>ROUND($G84*Settings!$B$4,0)</f>
        <v/>
      </c>
      <c r="J84" s="23">
        <f>ROUND($G84*Settings!$B$5,0)</f>
        <v/>
      </c>
      <c r="K84" s="23" t="inlineStr">
        <is>
          <t>Happiness</t>
        </is>
      </c>
      <c r="L84" s="23" t="n">
        <v>0.08</v>
      </c>
      <c r="M84" s="23">
        <f>ROUND($L84*Settings!$B$3,0)</f>
        <v/>
      </c>
      <c r="N84" s="23">
        <f>ROUND($L84*Settings!$B$4,0)</f>
        <v/>
      </c>
      <c r="O84" s="23">
        <f>ROUND($L84*Settings!$B$5,0)</f>
        <v/>
      </c>
      <c r="Q84" s="23" t="n">
        <v>0</v>
      </c>
      <c r="R84" s="23">
        <f>ROUND($Q84*Settings!$B$3,0)</f>
        <v/>
      </c>
      <c r="S84" s="23">
        <f>ROUND($Q84*Settings!$B$4,0)</f>
        <v/>
      </c>
      <c r="T84" s="23">
        <f>ROUND($Q84*Settings!$B$5,0)</f>
        <v/>
      </c>
      <c r="V84" s="23" t="n">
        <v>0</v>
      </c>
      <c r="W84" s="23" t="inlineStr">
        <is>
          <t>Career</t>
        </is>
      </c>
      <c r="X84" s="23" t="n">
        <v>0.05</v>
      </c>
      <c r="Z84" s="23" t="n">
        <v>0</v>
      </c>
      <c r="AA84" s="23" t="inlineStr">
        <is>
          <t>Lose job tier until rehired</t>
        </is>
      </c>
      <c r="AB84" s="23" t="inlineStr">
        <is>
          <t>Comedy reset</t>
        </is>
      </c>
      <c r="AC84" s="23" t="inlineStr">
        <is>
          <t>MVP</t>
        </is>
      </c>
    </row>
    <row r="85" ht="15" customHeight="1" s="24">
      <c r="A85" s="23" t="inlineStr">
        <is>
          <t>A084</t>
        </is>
      </c>
      <c r="B85" s="23" t="inlineStr">
        <is>
          <t>Corporate Soul Exchange</t>
        </is>
      </c>
      <c r="C85" s="23" t="inlineStr">
        <is>
          <t>Ask for Promotion</t>
        </is>
      </c>
      <c r="D85" s="23" t="inlineStr">
        <is>
          <t>Career</t>
        </is>
      </c>
      <c r="E85" s="23" t="inlineStr">
        <is>
          <t>Critical Thinking + clothes + career threshold</t>
        </is>
      </c>
      <c r="F85" s="23" t="n">
        <v>2</v>
      </c>
      <c r="G85" s="23" t="n">
        <v>0</v>
      </c>
      <c r="H85" s="23">
        <f>ROUND($G85*Settings!$B$3,0)</f>
        <v/>
      </c>
      <c r="I85" s="23">
        <f>ROUND($G85*Settings!$B$4,0)</f>
        <v/>
      </c>
      <c r="J85" s="23">
        <f>ROUND($G85*Settings!$B$5,0)</f>
        <v/>
      </c>
      <c r="K85" s="23" t="inlineStr">
        <is>
          <t>Career</t>
        </is>
      </c>
      <c r="L85" s="23" t="n">
        <v>0.08</v>
      </c>
      <c r="M85" s="23">
        <f>ROUND($L85*Settings!$B$3,0)</f>
        <v/>
      </c>
      <c r="N85" s="23">
        <f>ROUND($L85*Settings!$B$4,0)</f>
        <v/>
      </c>
      <c r="O85" s="23">
        <f>ROUND($L85*Settings!$B$5,0)</f>
        <v/>
      </c>
      <c r="P85" s="23" t="inlineStr">
        <is>
          <t>Money</t>
        </is>
      </c>
      <c r="Q85" s="23" t="n">
        <v>0.06</v>
      </c>
      <c r="R85" s="23">
        <f>ROUND($Q85*Settings!$B$3,0)</f>
        <v/>
      </c>
      <c r="S85" s="23">
        <f>ROUND($Q85*Settings!$B$4,0)</f>
        <v/>
      </c>
      <c r="T85" s="23">
        <f>ROUND($Q85*Settings!$B$5,0)</f>
        <v/>
      </c>
      <c r="V85" s="23" t="n">
        <v>0</v>
      </c>
      <c r="W85" s="23" t="inlineStr">
        <is>
          <t>Happiness</t>
        </is>
      </c>
      <c r="X85" s="23" t="n">
        <v>0.025</v>
      </c>
      <c r="Z85" s="23" t="n">
        <v>0</v>
      </c>
      <c r="AA85" s="23" t="inlineStr">
        <is>
          <t>REMOVED — see Education_Paths and Job_Progression sheets</t>
        </is>
      </c>
      <c r="AB85" s="23" t="inlineStr">
        <is>
          <t>REMOVED IN v5. Replaced by the 30-course Education_Paths system (courses) / Job_Progression click gates (promotion). Do not implement.</t>
        </is>
      </c>
      <c r="AC85" s="23" t="inlineStr">
        <is>
          <t>REMOVED v5</t>
        </is>
      </c>
    </row>
    <row r="86" ht="15" customHeight="1" s="24">
      <c r="A86" s="23" t="inlineStr">
        <is>
          <t>A085</t>
        </is>
      </c>
      <c r="B86" s="23" t="inlineStr">
        <is>
          <t>Debtstreet Capital</t>
        </is>
      </c>
      <c r="C86" s="23" t="inlineStr">
        <is>
          <t>Open Savings Account</t>
        </is>
      </c>
      <c r="D86" s="23" t="inlineStr">
        <is>
          <t>Money</t>
        </is>
      </c>
      <c r="E86" s="23" t="inlineStr">
        <is>
          <t>Max 1 savings account per player</t>
        </is>
      </c>
      <c r="F86" s="23" t="n">
        <v>1</v>
      </c>
      <c r="G86" s="23" t="n">
        <v>0.1</v>
      </c>
      <c r="H86" s="23">
        <f>ROUND($G86*Settings!$B$3,0)</f>
        <v/>
      </c>
      <c r="I86" s="23">
        <f>ROUND($G86*Settings!$B$4,0)</f>
        <v/>
      </c>
      <c r="J86" s="23">
        <f>ROUND($G86*Settings!$B$5,0)</f>
        <v/>
      </c>
      <c r="K86" s="23" t="inlineStr">
        <is>
          <t>Money</t>
        </is>
      </c>
      <c r="L86" s="23" t="n">
        <v>0</v>
      </c>
      <c r="M86" s="23">
        <f>ROUND($L86*Settings!$B$3,0)</f>
        <v/>
      </c>
      <c r="N86" s="23">
        <f>ROUND($L86*Settings!$B$4,0)</f>
        <v/>
      </c>
      <c r="O86" s="23">
        <f>ROUND($L86*Settings!$B$5,0)</f>
        <v/>
      </c>
      <c r="Q86" s="23" t="n">
        <v>0</v>
      </c>
      <c r="R86" s="23">
        <f>ROUND($Q86*Settings!$B$3,0)</f>
        <v/>
      </c>
      <c r="S86" s="23">
        <f>ROUND($Q86*Settings!$B$4,0)</f>
        <v/>
      </c>
      <c r="T86" s="23">
        <f>ROUND($Q86*Settings!$B$5,0)</f>
        <v/>
      </c>
      <c r="V86" s="23" t="n">
        <v>0</v>
      </c>
      <c r="Z86" s="23" t="n">
        <v>0</v>
      </c>
      <c r="AA86" s="23" t="inlineStr">
        <is>
          <t>Creates SAVINGS holding (principal 10%B). Pays +1%B every turn via the SAVINGS INTEREST card. Safe: never standing-weighted, never destroyed. Cash Out returns the full principal.</t>
        </is>
      </c>
      <c r="AB86" s="23" t="inlineStr">
        <is>
          <t>v4: no longer grants free Money on purchase. Costs a real deposit; one account maximum.</t>
        </is>
      </c>
      <c r="AC86" s="23" t="inlineStr">
        <is>
          <t>MVP</t>
        </is>
      </c>
    </row>
    <row r="87" ht="15" customHeight="1" s="24">
      <c r="A87" s="23" t="inlineStr">
        <is>
          <t>A086</t>
        </is>
      </c>
      <c r="B87" s="23" t="inlineStr">
        <is>
          <t>Debtstreet Capital</t>
        </is>
      </c>
      <c r="C87" s="23" t="inlineStr">
        <is>
          <t>Buy Bonds</t>
        </is>
      </c>
      <c r="D87" s="23" t="inlineStr">
        <is>
          <t>Investment</t>
        </is>
      </c>
      <c r="E87" s="23" t="inlineStr">
        <is>
          <t>Money available; max 1 bond holding</t>
        </is>
      </c>
      <c r="F87" s="23" t="n">
        <v>1</v>
      </c>
      <c r="G87" s="23" t="n">
        <v>0.15</v>
      </c>
      <c r="H87" s="23">
        <f>ROUND($G87*Settings!$B$3,0)</f>
        <v/>
      </c>
      <c r="I87" s="23">
        <f>ROUND($G87*Settings!$B$4,0)</f>
        <v/>
      </c>
      <c r="J87" s="23">
        <f>ROUND($G87*Settings!$B$5,0)</f>
        <v/>
      </c>
      <c r="K87" s="23" t="inlineStr">
        <is>
          <t>Money</t>
        </is>
      </c>
      <c r="L87" s="23" t="n">
        <v>0</v>
      </c>
      <c r="M87" s="23">
        <f>ROUND($L87*Settings!$B$3,0)</f>
        <v/>
      </c>
      <c r="N87" s="23">
        <f>ROUND($L87*Settings!$B$4,0)</f>
        <v/>
      </c>
      <c r="O87" s="23">
        <f>ROUND($L87*Settings!$B$5,0)</f>
        <v/>
      </c>
      <c r="Q87" s="23" t="n">
        <v>0</v>
      </c>
      <c r="R87" s="23">
        <f>ROUND($Q87*Settings!$B$3,0)</f>
        <v/>
      </c>
      <c r="S87" s="23">
        <f>ROUND($Q87*Settings!$B$4,0)</f>
        <v/>
      </c>
      <c r="T87" s="23">
        <f>ROUND($Q87*Settings!$B$5,0)</f>
        <v/>
      </c>
      <c r="V87" s="23" t="n">
        <v>0</v>
      </c>
      <c r="Z87" s="23" t="n">
        <v>0</v>
      </c>
      <c r="AA87" s="23" t="inlineStr">
        <is>
          <t>Creates BONDS holding (principal 15%B). Pays +2%B every turn via the BOND COUPON card. Safe: never standing-weighted, never destroyed. Cash Out returns the full principal.</t>
        </is>
      </c>
      <c r="AB87" s="23" t="inlineStr">
        <is>
          <t>v4: no immediate Money gain. Payback in about 8 turns, then profit.</t>
        </is>
      </c>
      <c r="AC87" s="23" t="inlineStr">
        <is>
          <t>MVP</t>
        </is>
      </c>
    </row>
    <row r="88" ht="15" customHeight="1" s="24">
      <c r="A88" s="23" t="inlineStr">
        <is>
          <t>A087</t>
        </is>
      </c>
      <c r="B88" s="23" t="inlineStr">
        <is>
          <t>Debtstreet Capital</t>
        </is>
      </c>
      <c r="C88" s="23" t="inlineStr">
        <is>
          <t>Buy Stocks</t>
        </is>
      </c>
      <c r="D88" s="23" t="inlineStr">
        <is>
          <t>Investment</t>
        </is>
      </c>
      <c r="E88" s="23" t="inlineStr">
        <is>
          <t>Money available; max 1 stock holding</t>
        </is>
      </c>
      <c r="F88" s="23" t="n">
        <v>1</v>
      </c>
      <c r="G88" s="23" t="n">
        <v>0.2</v>
      </c>
      <c r="H88" s="23">
        <f>ROUND($G88*Settings!$B$3,0)</f>
        <v/>
      </c>
      <c r="I88" s="23">
        <f>ROUND($G88*Settings!$B$4,0)</f>
        <v/>
      </c>
      <c r="J88" s="23">
        <f>ROUND($G88*Settings!$B$5,0)</f>
        <v/>
      </c>
      <c r="K88" s="23" t="inlineStr">
        <is>
          <t>Money</t>
        </is>
      </c>
      <c r="L88" s="23" t="n">
        <v>0</v>
      </c>
      <c r="M88" s="23">
        <f>ROUND($L88*Settings!$B$3,0)</f>
        <v/>
      </c>
      <c r="N88" s="23">
        <f>ROUND($L88*Settings!$B$4,0)</f>
        <v/>
      </c>
      <c r="O88" s="23">
        <f>ROUND($L88*Settings!$B$5,0)</f>
        <v/>
      </c>
      <c r="Q88" s="23" t="n">
        <v>0</v>
      </c>
      <c r="R88" s="23">
        <f>ROUND($Q88*Settings!$B$3,0)</f>
        <v/>
      </c>
      <c r="S88" s="23">
        <f>ROUND($Q88*Settings!$B$4,0)</f>
        <v/>
      </c>
      <c r="T88" s="23">
        <f>ROUND($Q88*Settings!$B$5,0)</f>
        <v/>
      </c>
      <c r="V88" s="23" t="n">
        <v>0</v>
      </c>
      <c r="Z88" s="23" t="n">
        <v>0</v>
      </c>
      <c r="AA88" s="23" t="inlineStr">
        <is>
          <t>Creates STOCKS holding (principal 20%B). Draws one outcome card per turn, standing-weighted (mild). Never destroyed. Cash Out returns the full principal.</t>
        </is>
      </c>
      <c r="AB88" s="23" t="inlineStr">
        <is>
          <t>v4: no immediate Money gain. Mild swings; mostly flat for 2nd/3rd place.</t>
        </is>
      </c>
      <c r="AC88" s="23" t="inlineStr">
        <is>
          <t>MVP</t>
        </is>
      </c>
    </row>
    <row r="89" ht="15" customHeight="1" s="24">
      <c r="A89" s="23" t="inlineStr">
        <is>
          <t>A088</t>
        </is>
      </c>
      <c r="B89" s="23" t="inlineStr">
        <is>
          <t>Debtstreet Capital</t>
        </is>
      </c>
      <c r="C89" s="23" t="inlineStr">
        <is>
          <t>Buy Crypto</t>
        </is>
      </c>
      <c r="D89" s="23" t="inlineStr">
        <is>
          <t>Investment</t>
        </is>
      </c>
      <c r="E89" s="23" t="inlineStr">
        <is>
          <t>Money available; max 1 crypto holding</t>
        </is>
      </c>
      <c r="F89" s="23" t="n">
        <v>1</v>
      </c>
      <c r="G89" s="23" t="n">
        <v>0.25</v>
      </c>
      <c r="H89" s="23">
        <f>ROUND($G89*Settings!$B$3,0)</f>
        <v/>
      </c>
      <c r="I89" s="23">
        <f>ROUND($G89*Settings!$B$4,0)</f>
        <v/>
      </c>
      <c r="J89" s="23">
        <f>ROUND($G89*Settings!$B$5,0)</f>
        <v/>
      </c>
      <c r="K89" s="23" t="inlineStr">
        <is>
          <t>Money</t>
        </is>
      </c>
      <c r="L89" s="23" t="n">
        <v>0</v>
      </c>
      <c r="M89" s="23">
        <f>ROUND($L89*Settings!$B$3,0)</f>
        <v/>
      </c>
      <c r="N89" s="23">
        <f>ROUND($L89*Settings!$B$4,0)</f>
        <v/>
      </c>
      <c r="O89" s="23">
        <f>ROUND($L89*Settings!$B$5,0)</f>
        <v/>
      </c>
      <c r="Q89" s="23" t="n">
        <v>0</v>
      </c>
      <c r="R89" s="23">
        <f>ROUND($Q89*Settings!$B$3,0)</f>
        <v/>
      </c>
      <c r="S89" s="23">
        <f>ROUND($Q89*Settings!$B$4,0)</f>
        <v/>
      </c>
      <c r="T89" s="23">
        <f>ROUND($Q89*Settings!$B$5,0)</f>
        <v/>
      </c>
      <c r="V89" s="23" t="n">
        <v>0</v>
      </c>
      <c r="Z89" s="23" t="n">
        <v>0</v>
      </c>
      <c r="AA89" s="23" t="inlineStr">
        <is>
          <t>Creates CRYPTO holding (principal 25%B). Draws one outcome card per turn, heavily standing-weighted. A RUG PULL DESTROYS the holding and the principal. Cash Out returns the full principal.</t>
        </is>
      </c>
      <c r="AB89" s="23" t="inlineStr">
        <is>
          <t>v4: no immediate Money gain. High risk/high reward; the leader's trap and the trailer's comeback.</t>
        </is>
      </c>
      <c r="AC89" s="23" t="inlineStr">
        <is>
          <t>MVP</t>
        </is>
      </c>
    </row>
    <row r="90" ht="15" customHeight="1" s="24">
      <c r="A90" s="23" t="inlineStr">
        <is>
          <t>A089</t>
        </is>
      </c>
      <c r="B90" s="23" t="inlineStr">
        <is>
          <t>Debtstreet Capital</t>
        </is>
      </c>
      <c r="C90" s="23" t="inlineStr">
        <is>
          <t>Read Tiny Print</t>
        </is>
      </c>
      <c r="D90" s="23" t="inlineStr">
        <is>
          <t>Study</t>
        </is>
      </c>
      <c r="E90" s="23" t="inlineStr">
        <is>
          <t>None</t>
        </is>
      </c>
      <c r="F90" s="23" t="n">
        <v>1</v>
      </c>
      <c r="G90" s="23" t="n">
        <v>0</v>
      </c>
      <c r="H90" s="23">
        <f>ROUND($G90*Settings!$B$3,0)</f>
        <v/>
      </c>
      <c r="I90" s="23">
        <f>ROUND($G90*Settings!$B$4,0)</f>
        <v/>
      </c>
      <c r="J90" s="23">
        <f>ROUND($G90*Settings!$B$5,0)</f>
        <v/>
      </c>
      <c r="K90" s="23" t="inlineStr">
        <is>
          <t>Critical Thinking</t>
        </is>
      </c>
      <c r="L90" s="23" t="n">
        <v>0.05</v>
      </c>
      <c r="M90" s="23">
        <f>ROUND($L90*Settings!$B$3,0)</f>
        <v/>
      </c>
      <c r="N90" s="23">
        <f>ROUND($L90*Settings!$B$4,0)</f>
        <v/>
      </c>
      <c r="O90" s="23">
        <f>ROUND($L90*Settings!$B$5,0)</f>
        <v/>
      </c>
      <c r="Q90" s="23" t="n">
        <v>0</v>
      </c>
      <c r="R90" s="23">
        <f>ROUND($Q90*Settings!$B$3,0)</f>
        <v/>
      </c>
      <c r="S90" s="23">
        <f>ROUND($Q90*Settings!$B$4,0)</f>
        <v/>
      </c>
      <c r="T90" s="23">
        <f>ROUND($Q90*Settings!$B$5,0)</f>
        <v/>
      </c>
      <c r="V90" s="23" t="n">
        <v>0</v>
      </c>
      <c r="Z90" s="23" t="n">
        <v>0</v>
      </c>
      <c r="AA90" s="23" t="inlineStr">
        <is>
          <t>Grants the INFORMED status. The next Big Loss card drawn from ANY investment is downgraded to a Small Loss, then INFORMED is consumed. Does not stack (taking it again while INFORMED is active only grants the Critical Thinking).</t>
        </is>
      </c>
      <c r="AB90" s="23" t="inlineStr">
        <is>
          <t>v4: exact effect locked. One-shot insurance against a rug pull or crash.</t>
        </is>
      </c>
      <c r="AC90" s="23" t="inlineStr">
        <is>
          <t>MVP</t>
        </is>
      </c>
    </row>
    <row r="91" ht="15" customHeight="1" s="24">
      <c r="A91" s="23" t="inlineStr">
        <is>
          <t>A090</t>
        </is>
      </c>
      <c r="B91" s="23" t="inlineStr">
        <is>
          <t>Debtstreet Capital</t>
        </is>
      </c>
      <c r="C91" s="23" t="inlineStr">
        <is>
          <t>Take Lifestyle Loan</t>
        </is>
      </c>
      <c r="D91" s="23" t="inlineStr">
        <is>
          <t>Debt</t>
        </is>
      </c>
      <c r="E91" s="23" t="inlineStr">
        <is>
          <t>None</t>
        </is>
      </c>
      <c r="F91" s="23" t="n">
        <v>1</v>
      </c>
      <c r="G91" s="23" t="n">
        <v>0</v>
      </c>
      <c r="H91" s="23">
        <f>ROUND($G91*Settings!$B$3,0)</f>
        <v/>
      </c>
      <c r="I91" s="23">
        <f>ROUND($G91*Settings!$B$4,0)</f>
        <v/>
      </c>
      <c r="J91" s="23">
        <f>ROUND($G91*Settings!$B$5,0)</f>
        <v/>
      </c>
      <c r="K91" s="23" t="inlineStr">
        <is>
          <t>Money</t>
        </is>
      </c>
      <c r="L91" s="23" t="n">
        <v>0.15</v>
      </c>
      <c r="M91" s="23">
        <f>ROUND($L91*Settings!$B$3,0)</f>
        <v/>
      </c>
      <c r="N91" s="23">
        <f>ROUND($L91*Settings!$B$4,0)</f>
        <v/>
      </c>
      <c r="O91" s="23">
        <f>ROUND($L91*Settings!$B$5,0)</f>
        <v/>
      </c>
      <c r="Q91" s="23" t="n">
        <v>0</v>
      </c>
      <c r="R91" s="23">
        <f>ROUND($Q91*Settings!$B$3,0)</f>
        <v/>
      </c>
      <c r="S91" s="23">
        <f>ROUND($Q91*Settings!$B$4,0)</f>
        <v/>
      </c>
      <c r="T91" s="23">
        <f>ROUND($Q91*Settings!$B$5,0)</f>
        <v/>
      </c>
      <c r="V91" s="23" t="n">
        <v>0</v>
      </c>
      <c r="W91" s="23" t="inlineStr">
        <is>
          <t>Money</t>
        </is>
      </c>
      <c r="X91" s="23" t="n">
        <v>0.05</v>
      </c>
      <c r="Z91" s="23" t="n">
        <v>0</v>
      </c>
      <c r="AA91" s="23" t="inlineStr">
        <is>
          <t>Money +15%B immediately, then -5%B is deducted automatically at the start of each of the next 4 turns (total repaid 20%B). Only one loan active at a time.</t>
        </is>
      </c>
      <c r="AB91" s="23" t="inlineStr">
        <is>
          <t>v4: repayment schedule locked. Net -5%B; a genuine emergency lever, not free money.</t>
        </is>
      </c>
      <c r="AC91" s="23" t="inlineStr">
        <is>
          <t>MVP</t>
        </is>
      </c>
    </row>
    <row r="92" ht="15" customHeight="1" s="24">
      <c r="A92" s="23" t="inlineStr">
        <is>
          <t>A091</t>
        </is>
      </c>
      <c r="B92" s="23" t="inlineStr">
        <is>
          <t>Debtstreet Capital</t>
        </is>
      </c>
      <c r="C92" s="23" t="inlineStr">
        <is>
          <t>Buy Penny Stocks</t>
        </is>
      </c>
      <c r="D92" s="23" t="inlineStr">
        <is>
          <t>Bad Decision</t>
        </is>
      </c>
      <c r="E92" s="23" t="inlineStr">
        <is>
          <t>None</t>
        </is>
      </c>
      <c r="F92" s="23" t="n">
        <v>1</v>
      </c>
      <c r="G92" s="23" t="n">
        <v>0.06</v>
      </c>
      <c r="H92" s="23">
        <f>ROUND($G92*Settings!$B$3,0)</f>
        <v/>
      </c>
      <c r="I92" s="23">
        <f>ROUND($G92*Settings!$B$4,0)</f>
        <v/>
      </c>
      <c r="J92" s="23">
        <f>ROUND($G92*Settings!$B$5,0)</f>
        <v/>
      </c>
      <c r="L92" s="23" t="n">
        <v>0</v>
      </c>
      <c r="M92" s="23">
        <f>ROUND($L92*Settings!$B$3,0)</f>
        <v/>
      </c>
      <c r="N92" s="23">
        <f>ROUND($L92*Settings!$B$4,0)</f>
        <v/>
      </c>
      <c r="O92" s="23">
        <f>ROUND($L92*Settings!$B$5,0)</f>
        <v/>
      </c>
      <c r="Q92" s="23" t="n">
        <v>0</v>
      </c>
      <c r="R92" s="23">
        <f>ROUND($Q92*Settings!$B$3,0)</f>
        <v/>
      </c>
      <c r="S92" s="23">
        <f>ROUND($Q92*Settings!$B$4,0)</f>
        <v/>
      </c>
      <c r="T92" s="23">
        <f>ROUND($Q92*Settings!$B$5,0)</f>
        <v/>
      </c>
      <c r="V92" s="23" t="n">
        <v>0</v>
      </c>
      <c r="W92" s="23" t="inlineStr">
        <is>
          <t>Money</t>
        </is>
      </c>
      <c r="X92" s="23" t="n">
        <v>0.08</v>
      </c>
      <c r="Y92" s="23" t="inlineStr">
        <is>
          <t>Critical Thinking</t>
        </is>
      </c>
      <c r="Z92" s="23" t="n">
        <v>0.05</v>
      </c>
      <c r="AA92" s="23" t="inlineStr">
        <is>
          <t>No positive effect</t>
        </is>
      </c>
      <c r="AB92" s="23" t="inlineStr">
        <is>
          <t>Pure troll option</t>
        </is>
      </c>
      <c r="AC92" s="23" t="inlineStr">
        <is>
          <t>MVP</t>
        </is>
      </c>
    </row>
    <row r="93" ht="15" customHeight="1" s="24">
      <c r="A93" s="37" t="inlineStr">
        <is>
          <t>A092</t>
        </is>
      </c>
      <c r="B93" s="37" t="inlineStr">
        <is>
          <t>Debtstreet Capital</t>
        </is>
      </c>
      <c r="C93" s="37" t="inlineStr">
        <is>
          <t>Work</t>
        </is>
      </c>
      <c r="D93" s="37" t="inlineStr">
        <is>
          <t>Work</t>
        </is>
      </c>
      <c r="E93" s="37" t="inlineStr">
        <is>
          <t>Job assigned at Corporate Soul Exchange</t>
        </is>
      </c>
      <c r="F93" s="37" t="n">
        <v>2</v>
      </c>
      <c r="G93" s="37" t="n">
        <v>0</v>
      </c>
      <c r="H93" s="37">
        <f>ROUND($G93*Settings!$B$3,0)</f>
        <v/>
      </c>
      <c r="I93" s="37">
        <f>ROUND($G93*Settings!$B$4,0)</f>
        <v/>
      </c>
      <c r="J93" s="37">
        <f>ROUND($G93*Settings!$B$5,0)</f>
        <v/>
      </c>
      <c r="K93" s="37" t="inlineStr">
        <is>
          <t>From job tier</t>
        </is>
      </c>
      <c r="L93" s="37" t="n">
        <v>0</v>
      </c>
      <c r="M93" s="37">
        <f>ROUND($L93*Settings!$B$3,0)</f>
        <v/>
      </c>
      <c r="N93" s="37">
        <f>ROUND($L93*Settings!$B$4,0)</f>
        <v/>
      </c>
      <c r="O93" s="37">
        <f>ROUND($L93*Settings!$B$5,0)</f>
        <v/>
      </c>
      <c r="P93" s="37" t="inlineStr">
        <is>
          <t>From job tier</t>
        </is>
      </c>
      <c r="Q93" s="37" t="n">
        <v>0</v>
      </c>
      <c r="R93" s="37">
        <f>ROUND($Q93*Settings!$B$3,0)</f>
        <v/>
      </c>
      <c r="S93" s="37">
        <f>ROUND($Q93*Settings!$B$4,0)</f>
        <v/>
      </c>
      <c r="T93" s="37">
        <f>ROUND($Q93*Settings!$B$5,0)</f>
        <v/>
      </c>
      <c r="U93" s="37" t="n"/>
      <c r="V93" s="37" t="n">
        <v>0</v>
      </c>
      <c r="W93" s="37" t="inlineStr">
        <is>
          <t>Happiness</t>
        </is>
      </c>
      <c r="X93" s="37" t="n">
        <v>0.02</v>
      </c>
      <c r="Y93" s="37" t="inlineStr">
        <is>
          <t>Enlightenment</t>
        </is>
      </c>
      <c r="Z93" s="37" t="n">
        <v>0.02</v>
      </c>
      <c r="AA93"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93" s="37" t="inlineStr">
        <is>
          <t>v6 BUG FIX: this row used to grant Money 6%B ($6) and Career 4-6%B on top of the job tier's own pay and Career, which double-counted Career and contradicted the v5 wage table ($40-$400 per click). Both are now zero here.</t>
        </is>
      </c>
      <c r="AC93" s="37" t="inlineStr">
        <is>
          <t>MVP</t>
        </is>
      </c>
      <c r="AD93" s="37" t="inlineStr">
        <is>
          <t>Work</t>
        </is>
      </c>
      <c r="AE93" s="37" t="n"/>
      <c r="AF93" s="37" t="n"/>
      <c r="AG93" s="37" t="n"/>
      <c r="AH93" s="37" t="n">
        <v>1</v>
      </c>
      <c r="AI93" s="37" t="inlineStr">
        <is>
          <t>Money/Career now sourced from job tier; building Money Multiplier added</t>
        </is>
      </c>
    </row>
    <row r="94" ht="15" customHeight="1" s="24">
      <c r="A94" s="23" t="inlineStr">
        <is>
          <t>A093</t>
        </is>
      </c>
      <c r="B94" s="23" t="inlineStr">
        <is>
          <t>Emotional Baggage Airport</t>
        </is>
      </c>
      <c r="C94" s="23" t="inlineStr">
        <is>
          <t>Fly to Hawaii</t>
        </is>
      </c>
      <c r="D94" s="23" t="inlineStr">
        <is>
          <t>Travel</t>
        </is>
      </c>
      <c r="E94" s="23" t="inlineStr">
        <is>
          <t>Money available</t>
        </is>
      </c>
      <c r="F94" s="23" t="n">
        <v>3</v>
      </c>
      <c r="G94" s="23" t="n">
        <v>0.18</v>
      </c>
      <c r="H94" s="23">
        <f>ROUND($G94*Settings!$B$3,0)</f>
        <v/>
      </c>
      <c r="I94" s="23">
        <f>ROUND($G94*Settings!$B$4,0)</f>
        <v/>
      </c>
      <c r="J94" s="23">
        <f>ROUND($G94*Settings!$B$5,0)</f>
        <v/>
      </c>
      <c r="K94" s="23" t="inlineStr">
        <is>
          <t>Happiness</t>
        </is>
      </c>
      <c r="L94" s="23" t="n">
        <v>0.12</v>
      </c>
      <c r="M94" s="23">
        <f>ROUND($L94*Settings!$B$3,0)</f>
        <v/>
      </c>
      <c r="N94" s="23">
        <f>ROUND($L94*Settings!$B$4,0)</f>
        <v/>
      </c>
      <c r="O94" s="23">
        <f>ROUND($L94*Settings!$B$5,0)</f>
        <v/>
      </c>
      <c r="Q94" s="23" t="n">
        <v>0</v>
      </c>
      <c r="R94" s="23">
        <f>ROUND($Q94*Settings!$B$3,0)</f>
        <v/>
      </c>
      <c r="S94" s="23">
        <f>ROUND($Q94*Settings!$B$4,0)</f>
        <v/>
      </c>
      <c r="T94" s="23">
        <f>ROUND($Q94*Settings!$B$5,0)</f>
        <v/>
      </c>
      <c r="V94" s="23" t="n">
        <v>0</v>
      </c>
      <c r="Z94" s="23" t="n">
        <v>0</v>
      </c>
      <c r="AA94" s="23" t="inlineStr">
        <is>
          <t>Counts as major relaxation</t>
        </is>
      </c>
      <c r="AB94" s="23" t="inlineStr">
        <is>
          <t>Best happiness route, costly</t>
        </is>
      </c>
      <c r="AC94" s="23" t="inlineStr">
        <is>
          <t>MVP</t>
        </is>
      </c>
      <c r="AD94" s="23" t="inlineStr">
        <is>
          <t>Relax</t>
        </is>
      </c>
    </row>
    <row r="95" ht="15" customHeight="1" s="24">
      <c r="A95" s="23" t="inlineStr">
        <is>
          <t>A094</t>
        </is>
      </c>
      <c r="B95" s="23" t="inlineStr">
        <is>
          <t>Emotional Baggage Airport</t>
        </is>
      </c>
      <c r="C95" s="23" t="inlineStr">
        <is>
          <t>Fly to Japan</t>
        </is>
      </c>
      <c r="D95" s="23" t="inlineStr">
        <is>
          <t>Travel</t>
        </is>
      </c>
      <c r="E95" s="23" t="inlineStr">
        <is>
          <t>Money available</t>
        </is>
      </c>
      <c r="F95" s="23" t="n">
        <v>3</v>
      </c>
      <c r="G95" s="23" t="n">
        <v>0.22</v>
      </c>
      <c r="H95" s="23">
        <f>ROUND($G95*Settings!$B$3,0)</f>
        <v/>
      </c>
      <c r="I95" s="23">
        <f>ROUND($G95*Settings!$B$4,0)</f>
        <v/>
      </c>
      <c r="J95" s="23">
        <f>ROUND($G95*Settings!$B$5,0)</f>
        <v/>
      </c>
      <c r="K95" s="23" t="inlineStr">
        <is>
          <t>Happiness</t>
        </is>
      </c>
      <c r="L95" s="23" t="n">
        <v>0.1</v>
      </c>
      <c r="M95" s="23">
        <f>ROUND($L95*Settings!$B$3,0)</f>
        <v/>
      </c>
      <c r="N95" s="23">
        <f>ROUND($L95*Settings!$B$4,0)</f>
        <v/>
      </c>
      <c r="O95" s="23">
        <f>ROUND($L95*Settings!$B$5,0)</f>
        <v/>
      </c>
      <c r="P95" s="23" t="inlineStr">
        <is>
          <t>Enlightenment</t>
        </is>
      </c>
      <c r="Q95" s="23" t="n">
        <v>0.05</v>
      </c>
      <c r="R95" s="23">
        <f>ROUND($Q95*Settings!$B$3,0)</f>
        <v/>
      </c>
      <c r="S95" s="23">
        <f>ROUND($Q95*Settings!$B$4,0)</f>
        <v/>
      </c>
      <c r="T95" s="23">
        <f>ROUND($Q95*Settings!$B$5,0)</f>
        <v/>
      </c>
      <c r="V95" s="23" t="n">
        <v>0</v>
      </c>
      <c r="Z95" s="23" t="n">
        <v>0</v>
      </c>
      <c r="AA95" s="23" t="inlineStr">
        <is>
          <t>Counts as major relaxation</t>
        </is>
      </c>
      <c r="AB95" s="23" t="inlineStr">
        <is>
          <t>Happiness + enlightenment</t>
        </is>
      </c>
      <c r="AC95" s="23" t="inlineStr">
        <is>
          <t>MVP</t>
        </is>
      </c>
      <c r="AD95" s="23" t="inlineStr">
        <is>
          <t>Relax</t>
        </is>
      </c>
    </row>
    <row r="96" ht="15" customHeight="1" s="24">
      <c r="A96" s="23" t="inlineStr">
        <is>
          <t>A095</t>
        </is>
      </c>
      <c r="B96" s="23" t="inlineStr">
        <is>
          <t>Emotional Baggage Airport</t>
        </is>
      </c>
      <c r="C96" s="23" t="inlineStr">
        <is>
          <t>Fly to France</t>
        </is>
      </c>
      <c r="D96" s="23" t="inlineStr">
        <is>
          <t>Travel</t>
        </is>
      </c>
      <c r="E96" s="23" t="inlineStr">
        <is>
          <t>Money available</t>
        </is>
      </c>
      <c r="F96" s="23" t="n">
        <v>3</v>
      </c>
      <c r="G96" s="23" t="n">
        <v>0.2</v>
      </c>
      <c r="H96" s="23">
        <f>ROUND($G96*Settings!$B$3,0)</f>
        <v/>
      </c>
      <c r="I96" s="23">
        <f>ROUND($G96*Settings!$B$4,0)</f>
        <v/>
      </c>
      <c r="J96" s="23">
        <f>ROUND($G96*Settings!$B$5,0)</f>
        <v/>
      </c>
      <c r="K96" s="23" t="inlineStr">
        <is>
          <t>Happiness</t>
        </is>
      </c>
      <c r="L96" s="23" t="n">
        <v>0.1</v>
      </c>
      <c r="M96" s="23">
        <f>ROUND($L96*Settings!$B$3,0)</f>
        <v/>
      </c>
      <c r="N96" s="23">
        <f>ROUND($L96*Settings!$B$4,0)</f>
        <v/>
      </c>
      <c r="O96" s="23">
        <f>ROUND($L96*Settings!$B$5,0)</f>
        <v/>
      </c>
      <c r="P96" s="23" t="inlineStr">
        <is>
          <t>Coolness Factor</t>
        </is>
      </c>
      <c r="Q96" s="23" t="n">
        <v>0.03</v>
      </c>
      <c r="R96" s="23">
        <f>ROUND($Q96*Settings!$B$3,0)</f>
        <v/>
      </c>
      <c r="S96" s="23">
        <f>ROUND($Q96*Settings!$B$4,0)</f>
        <v/>
      </c>
      <c r="T96" s="23">
        <f>ROUND($Q96*Settings!$B$5,0)</f>
        <v/>
      </c>
      <c r="V96" s="23" t="n">
        <v>0</v>
      </c>
      <c r="Z96" s="23" t="n">
        <v>0</v>
      </c>
      <c r="AA96" s="23" t="inlineStr">
        <is>
          <t>Counts as major relaxation</t>
        </is>
      </c>
      <c r="AB96" s="23" t="inlineStr">
        <is>
          <t>No connection bonus</t>
        </is>
      </c>
      <c r="AC96" s="23" t="inlineStr">
        <is>
          <t>MVP</t>
        </is>
      </c>
      <c r="AD96" s="23" t="inlineStr">
        <is>
          <t>Relax</t>
        </is>
      </c>
    </row>
    <row r="97" ht="15" customHeight="1" s="24">
      <c r="A97" s="23" t="inlineStr">
        <is>
          <t>A096</t>
        </is>
      </c>
      <c r="B97" s="23" t="inlineStr">
        <is>
          <t>Emotional Baggage Airport</t>
        </is>
      </c>
      <c r="C97" s="23" t="inlineStr">
        <is>
          <t>Fly to Australia</t>
        </is>
      </c>
      <c r="D97" s="23" t="inlineStr">
        <is>
          <t>Travel</t>
        </is>
      </c>
      <c r="E97" s="23" t="inlineStr">
        <is>
          <t>Money available</t>
        </is>
      </c>
      <c r="F97" s="23" t="n">
        <v>3</v>
      </c>
      <c r="G97" s="23" t="n">
        <v>0.25</v>
      </c>
      <c r="H97" s="23">
        <f>ROUND($G97*Settings!$B$3,0)</f>
        <v/>
      </c>
      <c r="I97" s="23">
        <f>ROUND($G97*Settings!$B$4,0)</f>
        <v/>
      </c>
      <c r="J97" s="23">
        <f>ROUND($G97*Settings!$B$5,0)</f>
        <v/>
      </c>
      <c r="K97" s="23" t="inlineStr">
        <is>
          <t>Happiness</t>
        </is>
      </c>
      <c r="L97" s="23" t="n">
        <v>0.15</v>
      </c>
      <c r="M97" s="23">
        <f>ROUND($L97*Settings!$B$3,0)</f>
        <v/>
      </c>
      <c r="N97" s="23">
        <f>ROUND($L97*Settings!$B$4,0)</f>
        <v/>
      </c>
      <c r="O97" s="23">
        <f>ROUND($L97*Settings!$B$5,0)</f>
        <v/>
      </c>
      <c r="Q97" s="23" t="n">
        <v>0</v>
      </c>
      <c r="R97" s="23">
        <f>ROUND($Q97*Settings!$B$3,0)</f>
        <v/>
      </c>
      <c r="S97" s="23">
        <f>ROUND($Q97*Settings!$B$4,0)</f>
        <v/>
      </c>
      <c r="T97" s="23">
        <f>ROUND($Q97*Settings!$B$5,0)</f>
        <v/>
      </c>
      <c r="V97" s="23" t="n">
        <v>0</v>
      </c>
      <c r="Z97" s="23" t="n">
        <v>0</v>
      </c>
      <c r="AA97" s="23" t="inlineStr">
        <is>
          <t>Counts as major relaxation</t>
        </is>
      </c>
      <c r="AB97" s="23" t="inlineStr">
        <is>
          <t>Big happiness</t>
        </is>
      </c>
      <c r="AC97" s="23" t="inlineStr">
        <is>
          <t>MVP</t>
        </is>
      </c>
      <c r="AD97" s="23" t="inlineStr">
        <is>
          <t>Relax</t>
        </is>
      </c>
    </row>
    <row r="98" ht="15" customHeight="1" s="24">
      <c r="A98" s="23" t="inlineStr">
        <is>
          <t>A097</t>
        </is>
      </c>
      <c r="B98" s="23" t="inlineStr">
        <is>
          <t>Emotional Baggage Airport</t>
        </is>
      </c>
      <c r="C98" s="23" t="inlineStr">
        <is>
          <t>Long-Term Backpacking Trip</t>
        </is>
      </c>
      <c r="D98" s="23" t="inlineStr">
        <is>
          <t>Travel</t>
        </is>
      </c>
      <c r="E98" s="23" t="inlineStr">
        <is>
          <t>Money + time available</t>
        </is>
      </c>
      <c r="F98" s="23" t="n">
        <v>3</v>
      </c>
      <c r="G98" s="23" t="n">
        <v>0.35</v>
      </c>
      <c r="H98" s="23">
        <f>ROUND($G98*Settings!$B$3,0)</f>
        <v/>
      </c>
      <c r="I98" s="23">
        <f>ROUND($G98*Settings!$B$4,0)</f>
        <v/>
      </c>
      <c r="J98" s="23">
        <f>ROUND($G98*Settings!$B$5,0)</f>
        <v/>
      </c>
      <c r="K98" s="23" t="inlineStr">
        <is>
          <t>Happiness</t>
        </is>
      </c>
      <c r="L98" s="23" t="n">
        <v>0.15</v>
      </c>
      <c r="M98" s="23">
        <f>ROUND($L98*Settings!$B$3,0)</f>
        <v/>
      </c>
      <c r="N98" s="23">
        <f>ROUND($L98*Settings!$B$4,0)</f>
        <v/>
      </c>
      <c r="O98" s="23">
        <f>ROUND($L98*Settings!$B$5,0)</f>
        <v/>
      </c>
      <c r="P98" s="23" t="inlineStr">
        <is>
          <t>Enlightenment</t>
        </is>
      </c>
      <c r="Q98" s="23" t="n">
        <v>0.1</v>
      </c>
      <c r="R98" s="23">
        <f>ROUND($Q98*Settings!$B$3,0)</f>
        <v/>
      </c>
      <c r="S98" s="23">
        <f>ROUND($Q98*Settings!$B$4,0)</f>
        <v/>
      </c>
      <c r="T98" s="23">
        <f>ROUND($Q98*Settings!$B$5,0)</f>
        <v/>
      </c>
      <c r="V98" s="23" t="n">
        <v>0</v>
      </c>
      <c r="Z98" s="23" t="n">
        <v>0</v>
      </c>
      <c r="AA98" s="23" t="inlineStr">
        <is>
          <t>Counts as major relaxation</t>
        </is>
      </c>
      <c r="AB98" s="23" t="inlineStr">
        <is>
          <t>Very expensive/time-heavy</t>
        </is>
      </c>
      <c r="AC98" s="23" t="inlineStr">
        <is>
          <t>MVP</t>
        </is>
      </c>
      <c r="AD98" s="23" t="inlineStr">
        <is>
          <t>Relax</t>
        </is>
      </c>
    </row>
    <row r="99" ht="15" customHeight="1" s="24">
      <c r="A99" s="23" t="inlineStr">
        <is>
          <t>A098</t>
        </is>
      </c>
      <c r="B99" s="23" t="inlineStr">
        <is>
          <t>Emotional Baggage Airport</t>
        </is>
      </c>
      <c r="C99" s="23" t="inlineStr">
        <is>
          <t>Complain About Missing Baggage</t>
        </is>
      </c>
      <c r="D99" s="23" t="inlineStr">
        <is>
          <t>Comedy</t>
        </is>
      </c>
      <c r="E99" s="23" t="inlineStr">
        <is>
          <t>None</t>
        </is>
      </c>
      <c r="F99" s="23" t="n">
        <v>1</v>
      </c>
      <c r="G99" s="23" t="n">
        <v>0</v>
      </c>
      <c r="H99" s="23">
        <f>ROUND($G99*Settings!$B$3,0)</f>
        <v/>
      </c>
      <c r="I99" s="23">
        <f>ROUND($G99*Settings!$B$4,0)</f>
        <v/>
      </c>
      <c r="J99" s="23">
        <f>ROUND($G99*Settings!$B$5,0)</f>
        <v/>
      </c>
      <c r="K99" s="23" t="inlineStr">
        <is>
          <t>Happiness</t>
        </is>
      </c>
      <c r="L99" s="23" t="n">
        <v>0.025</v>
      </c>
      <c r="M99" s="23">
        <f>ROUND($L99*Settings!$B$3,0)</f>
        <v/>
      </c>
      <c r="N99" s="23">
        <f>ROUND($L99*Settings!$B$4,0)</f>
        <v/>
      </c>
      <c r="O99" s="23">
        <f>ROUND($L99*Settings!$B$5,0)</f>
        <v/>
      </c>
      <c r="Q99" s="23" t="n">
        <v>0</v>
      </c>
      <c r="R99" s="23">
        <f>ROUND($Q99*Settings!$B$3,0)</f>
        <v/>
      </c>
      <c r="S99" s="23">
        <f>ROUND($Q99*Settings!$B$4,0)</f>
        <v/>
      </c>
      <c r="T99" s="23">
        <f>ROUND($Q99*Settings!$B$5,0)</f>
        <v/>
      </c>
      <c r="V99" s="23" t="n">
        <v>0</v>
      </c>
      <c r="W99" s="23" t="inlineStr">
        <is>
          <t>Critical Thinking</t>
        </is>
      </c>
      <c r="X99" s="23" t="n">
        <v>0.03</v>
      </c>
      <c r="Z99" s="23" t="n">
        <v>0</v>
      </c>
      <c r="AB99" s="23" t="inlineStr">
        <is>
          <t>Dumb happiness</t>
        </is>
      </c>
      <c r="AC99" s="23" t="inlineStr">
        <is>
          <t>MVP</t>
        </is>
      </c>
    </row>
    <row r="100" ht="15" customHeight="1" s="24">
      <c r="A100" s="23" t="inlineStr">
        <is>
          <t>A099</t>
        </is>
      </c>
      <c r="B100" s="23" t="inlineStr">
        <is>
          <t>Emotional Baggage Airport</t>
        </is>
      </c>
      <c r="C100" s="23" t="inlineStr">
        <is>
          <t>Buy Travel Insurance</t>
        </is>
      </c>
      <c r="D100" s="23" t="inlineStr">
        <is>
          <t>Travel Prep</t>
        </is>
      </c>
      <c r="E100" s="23" t="inlineStr">
        <is>
          <t>Before travel</t>
        </is>
      </c>
      <c r="F100" s="23" t="n">
        <v>1</v>
      </c>
      <c r="G100" s="23" t="n">
        <v>0.04</v>
      </c>
      <c r="H100" s="23">
        <f>ROUND($G100*Settings!$B$3,0)</f>
        <v/>
      </c>
      <c r="I100" s="23">
        <f>ROUND($G100*Settings!$B$4,0)</f>
        <v/>
      </c>
      <c r="J100" s="23">
        <f>ROUND($G100*Settings!$B$5,0)</f>
        <v/>
      </c>
      <c r="K100" s="23" t="inlineStr">
        <is>
          <t>Critical Thinking</t>
        </is>
      </c>
      <c r="L100" s="23" t="n">
        <v>0.03</v>
      </c>
      <c r="M100" s="23">
        <f>ROUND($L100*Settings!$B$3,0)</f>
        <v/>
      </c>
      <c r="N100" s="23">
        <f>ROUND($L100*Settings!$B$4,0)</f>
        <v/>
      </c>
      <c r="O100" s="23">
        <f>ROUND($L100*Settings!$B$5,0)</f>
        <v/>
      </c>
      <c r="Q100" s="23" t="n">
        <v>0</v>
      </c>
      <c r="R100" s="23">
        <f>ROUND($Q100*Settings!$B$3,0)</f>
        <v/>
      </c>
      <c r="S100" s="23">
        <f>ROUND($Q100*Settings!$B$4,0)</f>
        <v/>
      </c>
      <c r="T100" s="23">
        <f>ROUND($Q100*Settings!$B$5,0)</f>
        <v/>
      </c>
      <c r="V100" s="23" t="n">
        <v>0</v>
      </c>
      <c r="Z100" s="23" t="n">
        <v>0</v>
      </c>
      <c r="AA100" s="23" t="inlineStr">
        <is>
          <t>Reduces bad travel event chance</t>
        </is>
      </c>
      <c r="AB100" s="23" t="inlineStr">
        <is>
          <t>Small prep</t>
        </is>
      </c>
      <c r="AC100" s="23" t="inlineStr">
        <is>
          <t>MVP</t>
        </is>
      </c>
    </row>
    <row r="101" ht="15" customHeight="1" s="24">
      <c r="A101" s="23" t="inlineStr">
        <is>
          <t>A100</t>
        </is>
      </c>
      <c r="B101" s="23" t="inlineStr">
        <is>
          <t>Emotional Baggage Airport</t>
        </is>
      </c>
      <c r="C101" s="23" t="inlineStr">
        <is>
          <t>Airport Lounge Flex</t>
        </is>
      </c>
      <c r="D101" s="23" t="inlineStr">
        <is>
          <t>Travel</t>
        </is>
      </c>
      <c r="E101" s="23" t="inlineStr">
        <is>
          <t>Money available</t>
        </is>
      </c>
      <c r="F101" s="23" t="n">
        <v>1</v>
      </c>
      <c r="G101" s="23" t="n">
        <v>0.12</v>
      </c>
      <c r="H101" s="23">
        <f>ROUND($G101*Settings!$B$3,0)</f>
        <v/>
      </c>
      <c r="I101" s="23">
        <f>ROUND($G101*Settings!$B$4,0)</f>
        <v/>
      </c>
      <c r="J101" s="23">
        <f>ROUND($G101*Settings!$B$5,0)</f>
        <v/>
      </c>
      <c r="K101" s="23" t="inlineStr">
        <is>
          <t>Happiness</t>
        </is>
      </c>
      <c r="L101" s="23" t="n">
        <v>0.06</v>
      </c>
      <c r="M101" s="23">
        <f>ROUND($L101*Settings!$B$3,0)</f>
        <v/>
      </c>
      <c r="N101" s="23">
        <f>ROUND($L101*Settings!$B$4,0)</f>
        <v/>
      </c>
      <c r="O101" s="23">
        <f>ROUND($L101*Settings!$B$5,0)</f>
        <v/>
      </c>
      <c r="P101" s="23" t="inlineStr">
        <is>
          <t>Coolness Factor</t>
        </is>
      </c>
      <c r="Q101" s="23" t="n">
        <v>0.04</v>
      </c>
      <c r="R101" s="23">
        <f>ROUND($Q101*Settings!$B$3,0)</f>
        <v/>
      </c>
      <c r="S101" s="23">
        <f>ROUND($Q101*Settings!$B$4,0)</f>
        <v/>
      </c>
      <c r="T101" s="23">
        <f>ROUND($Q101*Settings!$B$5,0)</f>
        <v/>
      </c>
      <c r="V101" s="23" t="n">
        <v>0</v>
      </c>
      <c r="Z101" s="23" t="n">
        <v>0</v>
      </c>
      <c r="AB101" s="23" t="inlineStr">
        <is>
          <t>Luxury airport action</t>
        </is>
      </c>
      <c r="AC101" s="23" t="inlineStr">
        <is>
          <t>MVP</t>
        </is>
      </c>
    </row>
    <row r="102" ht="15" customHeight="1" s="24">
      <c r="A102" s="37" t="inlineStr">
        <is>
          <t>A101</t>
        </is>
      </c>
      <c r="B102" s="37" t="inlineStr">
        <is>
          <t>Emotional Baggage Airport</t>
        </is>
      </c>
      <c r="C102" s="37" t="inlineStr">
        <is>
          <t>Work</t>
        </is>
      </c>
      <c r="D102" s="37" t="inlineStr">
        <is>
          <t>Work</t>
        </is>
      </c>
      <c r="E102" s="37" t="inlineStr">
        <is>
          <t>Job assigned at Corporate Soul Exchange</t>
        </is>
      </c>
      <c r="F102" s="37" t="n">
        <v>2</v>
      </c>
      <c r="G102" s="37" t="n">
        <v>0</v>
      </c>
      <c r="H102" s="37">
        <f>ROUND($G102*Settings!$B$3,0)</f>
        <v/>
      </c>
      <c r="I102" s="37">
        <f>ROUND($G102*Settings!$B$4,0)</f>
        <v/>
      </c>
      <c r="J102" s="37">
        <f>ROUND($G102*Settings!$B$5,0)</f>
        <v/>
      </c>
      <c r="K102" s="37" t="inlineStr">
        <is>
          <t>From job tier</t>
        </is>
      </c>
      <c r="L102" s="37" t="n">
        <v>0</v>
      </c>
      <c r="M102" s="37">
        <f>ROUND($L102*Settings!$B$3,0)</f>
        <v/>
      </c>
      <c r="N102" s="37">
        <f>ROUND($L102*Settings!$B$4,0)</f>
        <v/>
      </c>
      <c r="O102" s="37">
        <f>ROUND($L102*Settings!$B$5,0)</f>
        <v/>
      </c>
      <c r="P102" s="37" t="inlineStr">
        <is>
          <t>From job tier</t>
        </is>
      </c>
      <c r="Q102" s="37" t="n">
        <v>0</v>
      </c>
      <c r="R102" s="37">
        <f>ROUND($Q102*Settings!$B$3,0)</f>
        <v/>
      </c>
      <c r="S102" s="37">
        <f>ROUND($Q102*Settings!$B$4,0)</f>
        <v/>
      </c>
      <c r="T102" s="37">
        <f>ROUND($Q102*Settings!$B$5,0)</f>
        <v/>
      </c>
      <c r="U102" s="37" t="n"/>
      <c r="V102" s="37" t="n">
        <v>0</v>
      </c>
      <c r="W102" s="37" t="inlineStr">
        <is>
          <t>Health</t>
        </is>
      </c>
      <c r="X102" s="37" t="n">
        <v>0.025</v>
      </c>
      <c r="Y102" s="37" t="inlineStr">
        <is>
          <t>Happiness</t>
        </is>
      </c>
      <c r="Z102" s="37" t="n">
        <v>0.02</v>
      </c>
      <c r="AA102"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102" s="37" t="inlineStr">
        <is>
          <t>v6 BUG FIX: this row used to grant Money 6%B ($6) and Career 4-6%B on top of the job tier's own pay and Career, which double-counted Career and contradicted the v5 wage table ($40-$400 per click). Both are now zero here.</t>
        </is>
      </c>
      <c r="AC102" s="37" t="inlineStr">
        <is>
          <t>MVP</t>
        </is>
      </c>
      <c r="AD102" s="37" t="inlineStr">
        <is>
          <t>Work</t>
        </is>
      </c>
      <c r="AE102" s="37" t="n"/>
      <c r="AF102" s="37" t="n"/>
      <c r="AG102" s="37" t="n"/>
      <c r="AH102" s="37" t="n">
        <v>1.35</v>
      </c>
      <c r="AI102" s="37" t="inlineStr">
        <is>
          <t>Money/Career now sourced from job tier; building Money Multiplier added</t>
        </is>
      </c>
    </row>
    <row r="103" ht="15" customHeight="1" s="24">
      <c r="A103" s="23" t="inlineStr">
        <is>
          <t>A102</t>
        </is>
      </c>
      <c r="B103" s="23" t="inlineStr">
        <is>
          <t>Ethical Pet Shop</t>
        </is>
      </c>
      <c r="C103" s="23" t="inlineStr">
        <is>
          <t>Adopt Pet</t>
        </is>
      </c>
      <c r="D103" s="23" t="inlineStr">
        <is>
          <t>Pet</t>
        </is>
      </c>
      <c r="E103" s="23" t="inlineStr">
        <is>
          <t>No pet owned</t>
        </is>
      </c>
      <c r="F103" s="23" t="n">
        <v>1</v>
      </c>
      <c r="G103" s="23" t="n">
        <v>0.2</v>
      </c>
      <c r="H103" s="23">
        <f>ROUND($G103*Settings!$B$3,0)</f>
        <v/>
      </c>
      <c r="I103" s="23">
        <f>ROUND($G103*Settings!$B$4,0)</f>
        <v/>
      </c>
      <c r="J103" s="23">
        <f>ROUND($G103*Settings!$B$5,0)</f>
        <v/>
      </c>
      <c r="K103" s="23" t="inlineStr">
        <is>
          <t>Happiness</t>
        </is>
      </c>
      <c r="L103" s="23" t="n">
        <v>0.05</v>
      </c>
      <c r="M103" s="23">
        <f>ROUND($L103*Settings!$B$3,0)</f>
        <v/>
      </c>
      <c r="N103" s="23">
        <f>ROUND($L103*Settings!$B$4,0)</f>
        <v/>
      </c>
      <c r="O103" s="23">
        <f>ROUND($L103*Settings!$B$5,0)</f>
        <v/>
      </c>
      <c r="Q103" s="23" t="n">
        <v>0</v>
      </c>
      <c r="R103" s="23">
        <f>ROUND($Q103*Settings!$B$3,0)</f>
        <v/>
      </c>
      <c r="S103" s="23">
        <f>ROUND($Q103*Settings!$B$4,0)</f>
        <v/>
      </c>
      <c r="T103" s="23">
        <f>ROUND($Q103*Settings!$B$5,0)</f>
        <v/>
      </c>
      <c r="V103" s="23" t="n">
        <v>0</v>
      </c>
      <c r="Z103" s="23" t="n">
        <v>0</v>
      </c>
      <c r="AA103" s="23" t="inlineStr">
        <is>
          <t>Unlocks pet system</t>
        </is>
      </c>
      <c r="AB103" s="23" t="inlineStr">
        <is>
          <t>v4: raised from 12%B to match the revised item economy.</t>
        </is>
      </c>
      <c r="AC103" s="23" t="inlineStr">
        <is>
          <t>MVP</t>
        </is>
      </c>
    </row>
    <row r="104" ht="15" customHeight="1" s="24">
      <c r="A104" s="23" t="inlineStr">
        <is>
          <t>A103</t>
        </is>
      </c>
      <c r="B104" s="23" t="inlineStr">
        <is>
          <t>Ethical Pet Shop</t>
        </is>
      </c>
      <c r="C104" s="23" t="inlineStr">
        <is>
          <t>Buy Pet Food</t>
        </is>
      </c>
      <c r="D104" s="23" t="inlineStr">
        <is>
          <t>Pet</t>
        </is>
      </c>
      <c r="E104" s="23" t="inlineStr">
        <is>
          <t>Own a pet</t>
        </is>
      </c>
      <c r="F104" s="23" t="n">
        <v>1</v>
      </c>
      <c r="G104" s="23" t="n">
        <v>0.2</v>
      </c>
      <c r="H104" s="23">
        <f>ROUND($G104*Settings!$B$3,0)</f>
        <v/>
      </c>
      <c r="I104" s="23">
        <f>ROUND($G104*Settings!$B$4,0)</f>
        <v/>
      </c>
      <c r="J104" s="23">
        <f>ROUND($G104*Settings!$B$5,0)</f>
        <v/>
      </c>
      <c r="L104" s="23" t="n">
        <v>0</v>
      </c>
      <c r="M104" s="23">
        <f>ROUND($L104*Settings!$B$3,0)</f>
        <v/>
      </c>
      <c r="N104" s="23">
        <f>ROUND($L104*Settings!$B$4,0)</f>
        <v/>
      </c>
      <c r="O104" s="23">
        <f>ROUND($L104*Settings!$B$5,0)</f>
        <v/>
      </c>
      <c r="Q104" s="23" t="n">
        <v>0</v>
      </c>
      <c r="R104" s="23">
        <f>ROUND($Q104*Settings!$B$3,0)</f>
        <v/>
      </c>
      <c r="S104" s="23">
        <f>ROUND($Q104*Settings!$B$4,0)</f>
        <v/>
      </c>
      <c r="T104" s="23">
        <f>ROUND($Q104*Settings!$B$5,0)</f>
        <v/>
      </c>
      <c r="V104" s="23" t="n">
        <v>0</v>
      </c>
      <c r="Z104" s="23" t="n">
        <v>0</v>
      </c>
      <c r="AA104" s="23" t="inlineStr">
        <is>
          <t>Prevents pet hunger warning</t>
        </is>
      </c>
      <c r="AB104" s="23" t="inlineStr">
        <is>
          <t>Maintenance purchase | v6.1: restored the v5.1 price that matches the painted menu ($20).</t>
        </is>
      </c>
      <c r="AC104" s="23" t="inlineStr">
        <is>
          <t>MVP</t>
        </is>
      </c>
    </row>
    <row r="105" ht="15" customHeight="1" s="24">
      <c r="A105" s="23" t="inlineStr">
        <is>
          <t>A104</t>
        </is>
      </c>
      <c r="B105" s="23" t="inlineStr">
        <is>
          <t>Ethical Pet Shop</t>
        </is>
      </c>
      <c r="C105" s="23" t="inlineStr">
        <is>
          <t>Buy Pet Toy</t>
        </is>
      </c>
      <c r="D105" s="23" t="inlineStr">
        <is>
          <t>Pet</t>
        </is>
      </c>
      <c r="E105" s="23" t="inlineStr">
        <is>
          <t>Own a pet</t>
        </is>
      </c>
      <c r="F105" s="23" t="n">
        <v>1</v>
      </c>
      <c r="G105" s="23" t="n">
        <v>0.25</v>
      </c>
      <c r="H105" s="23">
        <f>ROUND($G105*Settings!$B$3,0)</f>
        <v/>
      </c>
      <c r="I105" s="23">
        <f>ROUND($G105*Settings!$B$4,0)</f>
        <v/>
      </c>
      <c r="J105" s="23">
        <f>ROUND($G105*Settings!$B$5,0)</f>
        <v/>
      </c>
      <c r="L105" s="23" t="n">
        <v>0</v>
      </c>
      <c r="M105" s="23">
        <f>ROUND($L105*Settings!$B$3,0)</f>
        <v/>
      </c>
      <c r="N105" s="23">
        <f>ROUND($L105*Settings!$B$4,0)</f>
        <v/>
      </c>
      <c r="O105" s="23">
        <f>ROUND($L105*Settings!$B$5,0)</f>
        <v/>
      </c>
      <c r="Q105" s="23" t="n">
        <v>0</v>
      </c>
      <c r="R105" s="23">
        <f>ROUND($Q105*Settings!$B$3,0)</f>
        <v/>
      </c>
      <c r="S105" s="23">
        <f>ROUND($Q105*Settings!$B$4,0)</f>
        <v/>
      </c>
      <c r="T105" s="23">
        <f>ROUND($Q105*Settings!$B$5,0)</f>
        <v/>
      </c>
      <c r="U105" s="23" t="inlineStr">
        <is>
          <t>Pet Happiness</t>
        </is>
      </c>
      <c r="V105" s="23" t="n">
        <v>0.08</v>
      </c>
      <c r="Z105" s="23" t="n">
        <v>0</v>
      </c>
      <c r="AA105" s="23" t="inlineStr">
        <is>
          <t>Passive pet happiness bonus</t>
        </is>
      </c>
      <c r="AB105" s="23" t="inlineStr">
        <is>
          <t>Pet item | v6.1: restored the v5.1 price that matches the painted menu ($25).</t>
        </is>
      </c>
      <c r="AC105" s="23" t="inlineStr">
        <is>
          <t>MVP</t>
        </is>
      </c>
    </row>
    <row r="106" ht="15" customHeight="1" s="24">
      <c r="A106" s="23" t="inlineStr">
        <is>
          <t>A105</t>
        </is>
      </c>
      <c r="B106" s="23" t="inlineStr">
        <is>
          <t>Ethical Pet Shop</t>
        </is>
      </c>
      <c r="C106" s="23" t="inlineStr">
        <is>
          <t>Feed Animals</t>
        </is>
      </c>
      <c r="D106" s="23" t="inlineStr">
        <is>
          <t>Pet</t>
        </is>
      </c>
      <c r="E106" s="23" t="inlineStr">
        <is>
          <t>Own a pet or volunteer</t>
        </is>
      </c>
      <c r="F106" s="23" t="n">
        <v>1</v>
      </c>
      <c r="G106" s="23" t="n">
        <v>0.05</v>
      </c>
      <c r="H106" s="23">
        <f>ROUND($G106*Settings!$B$3,0)</f>
        <v/>
      </c>
      <c r="I106" s="23">
        <f>ROUND($G106*Settings!$B$4,0)</f>
        <v/>
      </c>
      <c r="J106" s="23">
        <f>ROUND($G106*Settings!$B$5,0)</f>
        <v/>
      </c>
      <c r="L106" s="23" t="n">
        <v>0</v>
      </c>
      <c r="M106" s="23">
        <f>ROUND($L106*Settings!$B$3,0)</f>
        <v/>
      </c>
      <c r="N106" s="23">
        <f>ROUND($L106*Settings!$B$4,0)</f>
        <v/>
      </c>
      <c r="O106" s="23">
        <f>ROUND($L106*Settings!$B$5,0)</f>
        <v/>
      </c>
      <c r="Q106" s="23" t="n">
        <v>0</v>
      </c>
      <c r="R106" s="23">
        <f>ROUND($Q106*Settings!$B$3,0)</f>
        <v/>
      </c>
      <c r="S106" s="23">
        <f>ROUND($Q106*Settings!$B$4,0)</f>
        <v/>
      </c>
      <c r="T106" s="23">
        <f>ROUND($Q106*Settings!$B$5,0)</f>
        <v/>
      </c>
      <c r="U106" s="23" t="inlineStr">
        <is>
          <t>Pet Health</t>
        </is>
      </c>
      <c r="V106" s="23" t="n">
        <v>0.06</v>
      </c>
      <c r="Z106" s="23" t="n">
        <v>0</v>
      </c>
      <c r="AB106" s="23" t="inlineStr">
        <is>
          <t>Pet health route | v6.1: restored the v5.1 price that matches the painted menu ($5).</t>
        </is>
      </c>
      <c r="AC106" s="23" t="inlineStr">
        <is>
          <t>MVP</t>
        </is>
      </c>
    </row>
    <row r="107" ht="15" customHeight="1" s="24">
      <c r="A107" s="23" t="inlineStr">
        <is>
          <t>A106</t>
        </is>
      </c>
      <c r="B107" s="23" t="inlineStr">
        <is>
          <t>Ethical Pet Shop</t>
        </is>
      </c>
      <c r="C107" s="23" t="inlineStr">
        <is>
          <t>Bathe Animals</t>
        </is>
      </c>
      <c r="D107" s="23" t="inlineStr">
        <is>
          <t>Pet</t>
        </is>
      </c>
      <c r="E107" s="23" t="inlineStr">
        <is>
          <t>Own a pet or volunteer</t>
        </is>
      </c>
      <c r="F107" s="23" t="n">
        <v>1</v>
      </c>
      <c r="G107" s="23" t="n">
        <v>0.1</v>
      </c>
      <c r="H107" s="23">
        <f>ROUND($G107*Settings!$B$3,0)</f>
        <v/>
      </c>
      <c r="I107" s="23">
        <f>ROUND($G107*Settings!$B$4,0)</f>
        <v/>
      </c>
      <c r="J107" s="23">
        <f>ROUND($G107*Settings!$B$5,0)</f>
        <v/>
      </c>
      <c r="L107" s="23" t="n">
        <v>0</v>
      </c>
      <c r="M107" s="23">
        <f>ROUND($L107*Settings!$B$3,0)</f>
        <v/>
      </c>
      <c r="N107" s="23">
        <f>ROUND($L107*Settings!$B$4,0)</f>
        <v/>
      </c>
      <c r="O107" s="23">
        <f>ROUND($L107*Settings!$B$5,0)</f>
        <v/>
      </c>
      <c r="Q107" s="23" t="n">
        <v>0</v>
      </c>
      <c r="R107" s="23">
        <f>ROUND($Q107*Settings!$B$3,0)</f>
        <v/>
      </c>
      <c r="S107" s="23">
        <f>ROUND($Q107*Settings!$B$4,0)</f>
        <v/>
      </c>
      <c r="T107" s="23">
        <f>ROUND($Q107*Settings!$B$5,0)</f>
        <v/>
      </c>
      <c r="U107" s="23" t="inlineStr">
        <is>
          <t>Pet Health</t>
        </is>
      </c>
      <c r="V107" s="23" t="n">
        <v>0.05</v>
      </c>
      <c r="X107" s="23" t="inlineStr">
        <is>
          <t>Pet Happiness</t>
        </is>
      </c>
      <c r="Y107" s="23" t="n">
        <v>0.05</v>
      </c>
      <c r="AA107" s="23" t="n">
        <v>0</v>
      </c>
      <c r="AB107" s="23" t="inlineStr">
        <is>
          <t>v6.1: restored the v5.1 price that matches the painted menu ($10).</t>
        </is>
      </c>
      <c r="AC107" s="23" t="inlineStr">
        <is>
          <t>Pet hybrid</t>
        </is>
      </c>
    </row>
    <row r="108" ht="15" customHeight="1" s="24">
      <c r="A108" s="23" t="inlineStr">
        <is>
          <t>A107</t>
        </is>
      </c>
      <c r="B108" s="23" t="inlineStr">
        <is>
          <t>Ethical Pet Shop</t>
        </is>
      </c>
      <c r="C108" s="23" t="inlineStr">
        <is>
          <t>Play With Pet</t>
        </is>
      </c>
      <c r="D108" s="23" t="inlineStr">
        <is>
          <t>Pet/Social</t>
        </is>
      </c>
      <c r="E108" s="23" t="inlineStr">
        <is>
          <t>Own a pet</t>
        </is>
      </c>
      <c r="F108" s="23" t="n">
        <v>1</v>
      </c>
      <c r="G108" s="23" t="n">
        <v>0</v>
      </c>
      <c r="H108" s="23">
        <f>ROUND($G108*Settings!$B$3,0)</f>
        <v/>
      </c>
      <c r="I108" s="23">
        <f>ROUND($G108*Settings!$B$4,0)</f>
        <v/>
      </c>
      <c r="J108" s="23">
        <f>ROUND($G108*Settings!$B$5,0)</f>
        <v/>
      </c>
      <c r="K108" s="23" t="inlineStr">
        <is>
          <t>Connection</t>
        </is>
      </c>
      <c r="L108" s="23" t="n">
        <v>0.025</v>
      </c>
      <c r="M108" s="23">
        <f>ROUND($L108*Settings!$B$3,0)</f>
        <v/>
      </c>
      <c r="N108" s="23">
        <f>ROUND($L108*Settings!$B$4,0)</f>
        <v/>
      </c>
      <c r="O108" s="23">
        <f>ROUND($L108*Settings!$B$5,0)</f>
        <v/>
      </c>
      <c r="Q108" s="23" t="n">
        <v>0</v>
      </c>
      <c r="R108" s="23">
        <f>ROUND($Q108*Settings!$B$3,0)</f>
        <v/>
      </c>
      <c r="S108" s="23">
        <f>ROUND($Q108*Settings!$B$4,0)</f>
        <v/>
      </c>
      <c r="T108" s="23">
        <f>ROUND($Q108*Settings!$B$5,0)</f>
        <v/>
      </c>
      <c r="U108" s="23" t="inlineStr">
        <is>
          <t>Pet Happiness</t>
        </is>
      </c>
      <c r="V108" s="23" t="n">
        <v>0.06</v>
      </c>
      <c r="Z108" s="23" t="n">
        <v>0</v>
      </c>
      <c r="AB108" s="23" t="inlineStr">
        <is>
          <t>Pet connection route</t>
        </is>
      </c>
      <c r="AC108" s="23" t="inlineStr">
        <is>
          <t>MVP</t>
        </is>
      </c>
    </row>
    <row r="109" ht="15" customHeight="1" s="24">
      <c r="A109" s="23" t="inlineStr">
        <is>
          <t>A108</t>
        </is>
      </c>
      <c r="B109" s="23" t="inlineStr">
        <is>
          <t>Ethical Pet Shop</t>
        </is>
      </c>
      <c r="C109" s="23" t="inlineStr">
        <is>
          <t>Bribe Inspector</t>
        </is>
      </c>
      <c r="D109" s="23" t="inlineStr">
        <is>
          <t>Risk</t>
        </is>
      </c>
      <c r="E109" s="23" t="inlineStr">
        <is>
          <t>Money available</t>
        </is>
      </c>
      <c r="F109" s="23" t="n">
        <v>1</v>
      </c>
      <c r="G109" s="23" t="n">
        <v>0.1</v>
      </c>
      <c r="H109" s="23">
        <f>ROUND($G109*Settings!$B$3,0)</f>
        <v/>
      </c>
      <c r="I109" s="23">
        <f>ROUND($G109*Settings!$B$4,0)</f>
        <v/>
      </c>
      <c r="J109" s="23">
        <f>ROUND($G109*Settings!$B$5,0)</f>
        <v/>
      </c>
      <c r="K109" s="23" t="inlineStr">
        <is>
          <t>Critical Thinking</t>
        </is>
      </c>
      <c r="L109" s="23" t="n">
        <v>0.05</v>
      </c>
      <c r="M109" s="23">
        <f>ROUND($L109*Settings!$B$3,0)</f>
        <v/>
      </c>
      <c r="N109" s="23">
        <f>ROUND($L109*Settings!$B$4,0)</f>
        <v/>
      </c>
      <c r="O109" s="23">
        <f>ROUND($L109*Settings!$B$5,0)</f>
        <v/>
      </c>
      <c r="Q109" s="23" t="n">
        <v>0</v>
      </c>
      <c r="R109" s="23">
        <f>ROUND($Q109*Settings!$B$3,0)</f>
        <v/>
      </c>
      <c r="S109" s="23">
        <f>ROUND($Q109*Settings!$B$4,0)</f>
        <v/>
      </c>
      <c r="T109" s="23">
        <f>ROUND($Q109*Settings!$B$5,0)</f>
        <v/>
      </c>
      <c r="V109" s="23" t="n">
        <v>0</v>
      </c>
      <c r="W109" s="23" t="inlineStr">
        <is>
          <t>Money</t>
        </is>
      </c>
      <c r="X109" s="23" t="n">
        <v>0</v>
      </c>
      <c r="Z109" s="23" t="n">
        <v>0</v>
      </c>
      <c r="AA109" s="23" t="inlineStr">
        <is>
          <t>Pay off the inspector: avoids the pet shop's bad-consequence event for the rest of the game. You learn exactly how the system works (Critical Thinking).</t>
        </is>
      </c>
      <c r="AB109" s="23" t="inlineStr">
        <is>
          <t>v4: money cost only (no double money penalty) + Critical Thinking gain, per design update. Repeatable but self-limiting: the cost is real and the protection only needs buying once.</t>
        </is>
      </c>
      <c r="AC109" s="23" t="inlineStr">
        <is>
          <t>MVP</t>
        </is>
      </c>
    </row>
    <row r="110" ht="15" customHeight="1" s="24">
      <c r="A110" s="23" t="inlineStr">
        <is>
          <t>A109</t>
        </is>
      </c>
      <c r="B110" s="23" t="inlineStr">
        <is>
          <t>Ethical Pet Shop</t>
        </is>
      </c>
      <c r="C110" s="23" t="inlineStr">
        <is>
          <t>Contact P.I.T.A.</t>
        </is>
      </c>
      <c r="D110" s="23" t="inlineStr">
        <is>
          <t>Risk</t>
        </is>
      </c>
      <c r="E110" s="23" t="inlineStr">
        <is>
          <t>Once per game per player</t>
        </is>
      </c>
      <c r="F110" s="23" t="n">
        <v>1</v>
      </c>
      <c r="G110" s="23" t="n">
        <v>0</v>
      </c>
      <c r="H110" s="23">
        <f>ROUND($G110*Settings!$B$3,0)</f>
        <v/>
      </c>
      <c r="I110" s="23">
        <f>ROUND($G110*Settings!$B$4,0)</f>
        <v/>
      </c>
      <c r="J110" s="23">
        <f>ROUND($G110*Settings!$B$5,0)</f>
        <v/>
      </c>
      <c r="K110" s="23" t="inlineStr">
        <is>
          <t>Happiness</t>
        </is>
      </c>
      <c r="L110" s="23" t="n">
        <v>0.08</v>
      </c>
      <c r="M110" s="23">
        <f>ROUND($L110*Settings!$B$3,0)</f>
        <v/>
      </c>
      <c r="N110" s="23">
        <f>ROUND($L110*Settings!$B$4,0)</f>
        <v/>
      </c>
      <c r="O110" s="23">
        <f>ROUND($L110*Settings!$B$5,0)</f>
        <v/>
      </c>
      <c r="P110" s="23" t="inlineStr">
        <is>
          <t>Enlightenment</t>
        </is>
      </c>
      <c r="Q110" s="23" t="n">
        <v>0.03</v>
      </c>
      <c r="R110" s="23">
        <f>ROUND($Q110*Settings!$B$3,0)</f>
        <v/>
      </c>
      <c r="S110" s="23">
        <f>ROUND($Q110*Settings!$B$4,0)</f>
        <v/>
      </c>
      <c r="T110" s="23">
        <f>ROUND($Q110*Settings!$B$5,0)</f>
        <v/>
      </c>
      <c r="V110" s="23" t="n">
        <v>0</v>
      </c>
      <c r="W110" s="23" t="inlineStr">
        <is>
          <t>Money</t>
        </is>
      </c>
      <c r="X110" s="23" t="n">
        <v>0</v>
      </c>
      <c r="Z110" s="23" t="n">
        <v>0</v>
      </c>
      <c r="AA110" s="23" t="inlineStr">
        <is>
          <t>Report the shop to P.I.T.A. Doing the right thing feels good: big one-time Happiness boost. May trigger a pet shop penalty event unless you already bribed the inspector.</t>
        </is>
      </c>
      <c r="AB110" s="23" t="inlineStr">
        <is>
          <t>v4: now a Happiness action per design update. Limited to once per game so it cannot be spammed for 8%B Happiness every Time Unit.</t>
        </is>
      </c>
      <c r="AC110" s="23" t="inlineStr">
        <is>
          <t>MVP</t>
        </is>
      </c>
    </row>
    <row r="111" ht="15" customHeight="1" s="24">
      <c r="A111" s="37" t="inlineStr">
        <is>
          <t>A110</t>
        </is>
      </c>
      <c r="B111" s="37" t="inlineStr">
        <is>
          <t>Ethical Pet Shop</t>
        </is>
      </c>
      <c r="C111" s="37" t="inlineStr">
        <is>
          <t>Work</t>
        </is>
      </c>
      <c r="D111" s="37" t="inlineStr">
        <is>
          <t>Work</t>
        </is>
      </c>
      <c r="E111" s="37" t="inlineStr">
        <is>
          <t>Job assigned at Corporate Soul Exchange</t>
        </is>
      </c>
      <c r="F111" s="37" t="n">
        <v>2</v>
      </c>
      <c r="G111" s="37" t="n">
        <v>0</v>
      </c>
      <c r="H111" s="37">
        <f>ROUND($G111*Settings!$B$3,0)</f>
        <v/>
      </c>
      <c r="I111" s="37">
        <f>ROUND($G111*Settings!$B$4,0)</f>
        <v/>
      </c>
      <c r="J111" s="37">
        <f>ROUND($G111*Settings!$B$5,0)</f>
        <v/>
      </c>
      <c r="K111" s="37" t="inlineStr">
        <is>
          <t>From job tier</t>
        </is>
      </c>
      <c r="L111" s="37" t="n">
        <v>0</v>
      </c>
      <c r="M111" s="37">
        <f>ROUND($L111*Settings!$B$3,0)</f>
        <v/>
      </c>
      <c r="N111" s="37">
        <f>ROUND($L111*Settings!$B$4,0)</f>
        <v/>
      </c>
      <c r="O111" s="37">
        <f>ROUND($L111*Settings!$B$5,0)</f>
        <v/>
      </c>
      <c r="P111" s="37" t="inlineStr">
        <is>
          <t>From job tier</t>
        </is>
      </c>
      <c r="Q111" s="37" t="n">
        <v>0</v>
      </c>
      <c r="R111" s="37">
        <f>ROUND($Q111*Settings!$B$3,0)</f>
        <v/>
      </c>
      <c r="S111" s="37">
        <f>ROUND($Q111*Settings!$B$4,0)</f>
        <v/>
      </c>
      <c r="T111" s="37">
        <f>ROUND($Q111*Settings!$B$5,0)</f>
        <v/>
      </c>
      <c r="U111" s="37" t="n"/>
      <c r="V111" s="37" t="n">
        <v>0</v>
      </c>
      <c r="W111" s="37" t="inlineStr">
        <is>
          <t>Health</t>
        </is>
      </c>
      <c r="X111" s="37" t="n">
        <v>0.015</v>
      </c>
      <c r="Y111" s="37" t="inlineStr">
        <is>
          <t>Happiness</t>
        </is>
      </c>
      <c r="Z111" s="37" t="n">
        <v>0.02</v>
      </c>
      <c r="AA111"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111" s="37" t="inlineStr">
        <is>
          <t>v6 BUG FIX: this row used to grant Money 6%B ($6) and Career 4-6%B on top of the job tier's own pay and Career, which double-counted Career and contradicted the v5 wage table ($40-$400 per click). Both are now zero here.</t>
        </is>
      </c>
      <c r="AC111" s="37" t="inlineStr">
        <is>
          <t>MVP</t>
        </is>
      </c>
      <c r="AD111" s="37" t="inlineStr">
        <is>
          <t>Work</t>
        </is>
      </c>
      <c r="AE111" s="37" t="n"/>
      <c r="AF111" s="37" t="n"/>
      <c r="AG111" s="37" t="n"/>
      <c r="AH111" s="37" t="n">
        <v>1.2</v>
      </c>
      <c r="AI111" s="37" t="inlineStr">
        <is>
          <t>Money/Career now sourced from job tier; building Money Multiplier added</t>
        </is>
      </c>
    </row>
    <row r="112" ht="15" customHeight="1" s="24">
      <c r="A112" s="23" t="inlineStr">
        <is>
          <t>A111</t>
        </is>
      </c>
      <c r="B112" s="23" t="inlineStr">
        <is>
          <t>Mall</t>
        </is>
      </c>
      <c r="C112" s="23" t="inlineStr">
        <is>
          <t>Browse Mall</t>
        </is>
      </c>
      <c r="D112" s="23" t="inlineStr">
        <is>
          <t>Fun</t>
        </is>
      </c>
      <c r="E112" s="23" t="inlineStr">
        <is>
          <t>None</t>
        </is>
      </c>
      <c r="F112" s="23" t="n">
        <v>1</v>
      </c>
      <c r="G112" s="23" t="n">
        <v>0.02</v>
      </c>
      <c r="H112" s="23">
        <f>ROUND($G112*Settings!$B$3,0)</f>
        <v/>
      </c>
      <c r="I112" s="23">
        <f>ROUND($G112*Settings!$B$4,0)</f>
        <v/>
      </c>
      <c r="J112" s="23">
        <f>ROUND($G112*Settings!$B$5,0)</f>
        <v/>
      </c>
      <c r="K112" s="23" t="inlineStr">
        <is>
          <t>Happiness</t>
        </is>
      </c>
      <c r="L112" s="23" t="n">
        <v>0.025</v>
      </c>
      <c r="M112" s="23">
        <f>ROUND($L112*Settings!$B$3,0)</f>
        <v/>
      </c>
      <c r="N112" s="23">
        <f>ROUND($L112*Settings!$B$4,0)</f>
        <v/>
      </c>
      <c r="O112" s="23">
        <f>ROUND($L112*Settings!$B$5,0)</f>
        <v/>
      </c>
      <c r="P112" s="23" t="inlineStr">
        <is>
          <t>Coolness Factor</t>
        </is>
      </c>
      <c r="Q112" s="23" t="n">
        <v>0.015</v>
      </c>
      <c r="R112" s="23">
        <f>ROUND($Q112*Settings!$B$3,0)</f>
        <v/>
      </c>
      <c r="S112" s="23">
        <f>ROUND($Q112*Settings!$B$4,0)</f>
        <v/>
      </c>
      <c r="T112" s="23">
        <f>ROUND($Q112*Settings!$B$5,0)</f>
        <v/>
      </c>
      <c r="V112" s="23" t="n">
        <v>0</v>
      </c>
      <c r="Z112" s="23" t="n">
        <v>0</v>
      </c>
      <c r="AB112" s="23" t="inlineStr">
        <is>
          <t>Small mall action</t>
        </is>
      </c>
      <c r="AC112" s="23" t="inlineStr">
        <is>
          <t>MVP</t>
        </is>
      </c>
    </row>
    <row r="113" ht="15" customHeight="1" s="24">
      <c r="A113" s="23" t="inlineStr">
        <is>
          <t>A112</t>
        </is>
      </c>
      <c r="B113" s="23" t="inlineStr">
        <is>
          <t>Mall</t>
        </is>
      </c>
      <c r="C113" s="23" t="inlineStr">
        <is>
          <t>Shop Transportation</t>
        </is>
      </c>
      <c r="D113" s="23" t="inlineStr">
        <is>
          <t>Shopping</t>
        </is>
      </c>
      <c r="E113" s="23" t="inlineStr">
        <is>
          <t>Money available</t>
        </is>
      </c>
      <c r="F113" s="23" t="n">
        <v>1</v>
      </c>
      <c r="G113" s="23" t="n">
        <v>0</v>
      </c>
      <c r="H113" s="23">
        <f>ROUND($G113*Settings!$B$3,0)</f>
        <v/>
      </c>
      <c r="I113" s="23">
        <f>ROUND($G113*Settings!$B$4,0)</f>
        <v/>
      </c>
      <c r="J113" s="23">
        <f>ROUND($G113*Settings!$B$5,0)</f>
        <v/>
      </c>
      <c r="L113" s="23" t="n">
        <v>0</v>
      </c>
      <c r="M113" s="23">
        <f>ROUND($L113*Settings!$B$3,0)</f>
        <v/>
      </c>
      <c r="N113" s="23">
        <f>ROUND($L113*Settings!$B$4,0)</f>
        <v/>
      </c>
      <c r="O113" s="23">
        <f>ROUND($L113*Settings!$B$5,0)</f>
        <v/>
      </c>
      <c r="Q113" s="23" t="n">
        <v>0</v>
      </c>
      <c r="R113" s="23">
        <f>ROUND($Q113*Settings!$B$3,0)</f>
        <v/>
      </c>
      <c r="S113" s="23">
        <f>ROUND($Q113*Settings!$B$4,0)</f>
        <v/>
      </c>
      <c r="T113" s="23">
        <f>ROUND($Q113*Settings!$B$5,0)</f>
        <v/>
      </c>
      <c r="V113" s="23" t="n">
        <v>0</v>
      </c>
      <c r="Z113" s="23" t="n">
        <v>0</v>
      </c>
      <c r="AA113" s="23" t="inlineStr">
        <is>
          <t>See Items_Mall: bus, bicycle, car</t>
        </is>
      </c>
      <c r="AB113" s="23" t="inlineStr">
        <is>
          <t>Item purchase category</t>
        </is>
      </c>
      <c r="AC113" s="23" t="inlineStr">
        <is>
          <t>MVP</t>
        </is>
      </c>
    </row>
    <row r="114" ht="15" customHeight="1" s="24">
      <c r="A114" s="23" t="inlineStr">
        <is>
          <t>A113</t>
        </is>
      </c>
      <c r="B114" s="23" t="inlineStr">
        <is>
          <t>Mall</t>
        </is>
      </c>
      <c r="C114" s="23" t="inlineStr">
        <is>
          <t>Shop Electronics / Appliances</t>
        </is>
      </c>
      <c r="D114" s="23" t="inlineStr">
        <is>
          <t>Shopping</t>
        </is>
      </c>
      <c r="E114" s="23" t="inlineStr">
        <is>
          <t>Money available</t>
        </is>
      </c>
      <c r="F114" s="23" t="n">
        <v>1</v>
      </c>
      <c r="G114" s="23" t="n">
        <v>0</v>
      </c>
      <c r="H114" s="23">
        <f>ROUND($G114*Settings!$B$3,0)</f>
        <v/>
      </c>
      <c r="I114" s="23">
        <f>ROUND($G114*Settings!$B$4,0)</f>
        <v/>
      </c>
      <c r="J114" s="23">
        <f>ROUND($G114*Settings!$B$5,0)</f>
        <v/>
      </c>
      <c r="L114" s="23" t="n">
        <v>0</v>
      </c>
      <c r="M114" s="23">
        <f>ROUND($L114*Settings!$B$3,0)</f>
        <v/>
      </c>
      <c r="N114" s="23">
        <f>ROUND($L114*Settings!$B$4,0)</f>
        <v/>
      </c>
      <c r="O114" s="23">
        <f>ROUND($L114*Settings!$B$5,0)</f>
        <v/>
      </c>
      <c r="Q114" s="23" t="n">
        <v>0</v>
      </c>
      <c r="R114" s="23">
        <f>ROUND($Q114*Settings!$B$3,0)</f>
        <v/>
      </c>
      <c r="S114" s="23">
        <f>ROUND($Q114*Settings!$B$4,0)</f>
        <v/>
      </c>
      <c r="T114" s="23">
        <f>ROUND($Q114*Settings!$B$5,0)</f>
        <v/>
      </c>
      <c r="V114" s="23" t="n">
        <v>0</v>
      </c>
      <c r="Z114" s="23" t="n">
        <v>0</v>
      </c>
      <c r="AA114" s="23" t="inlineStr">
        <is>
          <t>See Items_Mall: computer, phone, fridge, etc.</t>
        </is>
      </c>
      <c r="AB114" s="23" t="inlineStr">
        <is>
          <t>Item purchase category</t>
        </is>
      </c>
      <c r="AC114" s="23" t="inlineStr">
        <is>
          <t>MVP</t>
        </is>
      </c>
    </row>
    <row r="115" ht="15" customHeight="1" s="24">
      <c r="A115" s="23" t="inlineStr">
        <is>
          <t>A114</t>
        </is>
      </c>
      <c r="B115" s="23" t="inlineStr">
        <is>
          <t>Mall</t>
        </is>
      </c>
      <c r="C115" s="23" t="inlineStr">
        <is>
          <t>Shop Furniture</t>
        </is>
      </c>
      <c r="D115" s="23" t="inlineStr">
        <is>
          <t>Shopping</t>
        </is>
      </c>
      <c r="E115" s="23" t="inlineStr">
        <is>
          <t>Money available</t>
        </is>
      </c>
      <c r="F115" s="23" t="n">
        <v>1</v>
      </c>
      <c r="G115" s="23" t="n">
        <v>0</v>
      </c>
      <c r="H115" s="23">
        <f>ROUND($G115*Settings!$B$3,0)</f>
        <v/>
      </c>
      <c r="I115" s="23">
        <f>ROUND($G115*Settings!$B$4,0)</f>
        <v/>
      </c>
      <c r="J115" s="23">
        <f>ROUND($G115*Settings!$B$5,0)</f>
        <v/>
      </c>
      <c r="L115" s="23" t="n">
        <v>0</v>
      </c>
      <c r="M115" s="23">
        <f>ROUND($L115*Settings!$B$3,0)</f>
        <v/>
      </c>
      <c r="N115" s="23">
        <f>ROUND($L115*Settings!$B$4,0)</f>
        <v/>
      </c>
      <c r="O115" s="23">
        <f>ROUND($L115*Settings!$B$5,0)</f>
        <v/>
      </c>
      <c r="Q115" s="23" t="n">
        <v>0</v>
      </c>
      <c r="R115" s="23">
        <f>ROUND($Q115*Settings!$B$3,0)</f>
        <v/>
      </c>
      <c r="S115" s="23">
        <f>ROUND($Q115*Settings!$B$4,0)</f>
        <v/>
      </c>
      <c r="T115" s="23">
        <f>ROUND($Q115*Settings!$B$5,0)</f>
        <v/>
      </c>
      <c r="V115" s="23" t="n">
        <v>0</v>
      </c>
      <c r="Z115" s="23" t="n">
        <v>0</v>
      </c>
      <c r="AA115" s="23" t="inlineStr">
        <is>
          <t>See Items_Mall: beds, desk, plants, etc.</t>
        </is>
      </c>
      <c r="AB115" s="23" t="inlineStr">
        <is>
          <t>Item purchase category</t>
        </is>
      </c>
      <c r="AC115" s="23" t="inlineStr">
        <is>
          <t>MVP</t>
        </is>
      </c>
    </row>
    <row r="116" ht="15" customHeight="1" s="24">
      <c r="A116" s="23" t="inlineStr">
        <is>
          <t>A115</t>
        </is>
      </c>
      <c r="B116" s="23" t="inlineStr">
        <is>
          <t>Mall</t>
        </is>
      </c>
      <c r="C116" s="23" t="inlineStr">
        <is>
          <t>Shop Clothing</t>
        </is>
      </c>
      <c r="D116" s="23" t="inlineStr">
        <is>
          <t>Shopping</t>
        </is>
      </c>
      <c r="E116" s="23" t="inlineStr">
        <is>
          <t>Money available</t>
        </is>
      </c>
      <c r="F116" s="23" t="n">
        <v>1</v>
      </c>
      <c r="G116" s="23" t="n">
        <v>0</v>
      </c>
      <c r="H116" s="23">
        <f>ROUND($G116*Settings!$B$3,0)</f>
        <v/>
      </c>
      <c r="I116" s="23">
        <f>ROUND($G116*Settings!$B$4,0)</f>
        <v/>
      </c>
      <c r="J116" s="23">
        <f>ROUND($G116*Settings!$B$5,0)</f>
        <v/>
      </c>
      <c r="L116" s="23" t="n">
        <v>0</v>
      </c>
      <c r="M116" s="23">
        <f>ROUND($L116*Settings!$B$3,0)</f>
        <v/>
      </c>
      <c r="N116" s="23">
        <f>ROUND($L116*Settings!$B$4,0)</f>
        <v/>
      </c>
      <c r="O116" s="23">
        <f>ROUND($L116*Settings!$B$5,0)</f>
        <v/>
      </c>
      <c r="Q116" s="23" t="n">
        <v>0</v>
      </c>
      <c r="R116" s="23">
        <f>ROUND($Q116*Settings!$B$3,0)</f>
        <v/>
      </c>
      <c r="S116" s="23">
        <f>ROUND($Q116*Settings!$B$4,0)</f>
        <v/>
      </c>
      <c r="T116" s="23">
        <f>ROUND($Q116*Settings!$B$5,0)</f>
        <v/>
      </c>
      <c r="V116" s="23" t="n">
        <v>0</v>
      </c>
      <c r="Z116" s="23" t="n">
        <v>0</v>
      </c>
      <c r="AA116" s="23" t="inlineStr">
        <is>
          <t>See Items_Mall: outfits/accessories</t>
        </is>
      </c>
      <c r="AB116" s="23" t="inlineStr">
        <is>
          <t>Item purchase category</t>
        </is>
      </c>
      <c r="AC116" s="23" t="inlineStr">
        <is>
          <t>MVP</t>
        </is>
      </c>
    </row>
    <row r="117" ht="15" customHeight="1" s="24">
      <c r="A117" s="23" t="inlineStr">
        <is>
          <t>A116</t>
        </is>
      </c>
      <c r="B117" s="23" t="inlineStr">
        <is>
          <t>Mall</t>
        </is>
      </c>
      <c r="C117" s="23" t="inlineStr">
        <is>
          <t>Hang Out at Mall</t>
        </is>
      </c>
      <c r="D117" s="23" t="inlineStr">
        <is>
          <t>Social</t>
        </is>
      </c>
      <c r="E117" s="23" t="inlineStr">
        <is>
          <t>None</t>
        </is>
      </c>
      <c r="F117" s="23" t="n">
        <v>1</v>
      </c>
      <c r="G117" s="23" t="n">
        <v>0.03</v>
      </c>
      <c r="H117" s="23">
        <f>ROUND($G117*Settings!$B$3,0)</f>
        <v/>
      </c>
      <c r="I117" s="23">
        <f>ROUND($G117*Settings!$B$4,0)</f>
        <v/>
      </c>
      <c r="J117" s="23">
        <f>ROUND($G117*Settings!$B$5,0)</f>
        <v/>
      </c>
      <c r="K117" s="23" t="inlineStr">
        <is>
          <t>Connection</t>
        </is>
      </c>
      <c r="L117" s="23" t="n">
        <v>0.04</v>
      </c>
      <c r="M117" s="23">
        <f>ROUND($L117*Settings!$B$3,0)</f>
        <v/>
      </c>
      <c r="N117" s="23">
        <f>ROUND($L117*Settings!$B$4,0)</f>
        <v/>
      </c>
      <c r="O117" s="23">
        <f>ROUND($L117*Settings!$B$5,0)</f>
        <v/>
      </c>
      <c r="P117" s="23" t="inlineStr">
        <is>
          <t>Coolness Factor</t>
        </is>
      </c>
      <c r="Q117" s="23" t="n">
        <v>0.03</v>
      </c>
      <c r="R117" s="23">
        <f>ROUND($Q117*Settings!$B$3,0)</f>
        <v/>
      </c>
      <c r="S117" s="23">
        <f>ROUND($Q117*Settings!$B$4,0)</f>
        <v/>
      </c>
      <c r="T117" s="23">
        <f>ROUND($Q117*Settings!$B$5,0)</f>
        <v/>
      </c>
      <c r="V117" s="23" t="n">
        <v>0</v>
      </c>
      <c r="Z117" s="23" t="n">
        <v>0</v>
      </c>
      <c r="AB117" s="23" t="inlineStr">
        <is>
          <t>Simple social/coolness</t>
        </is>
      </c>
      <c r="AC117" s="23" t="inlineStr">
        <is>
          <t>MVP</t>
        </is>
      </c>
    </row>
    <row r="118" ht="15" customHeight="1" s="24">
      <c r="A118" s="23" t="inlineStr">
        <is>
          <t>A117</t>
        </is>
      </c>
      <c r="B118" s="23" t="inlineStr">
        <is>
          <t>Mall</t>
        </is>
      </c>
      <c r="C118" s="23" t="inlineStr">
        <is>
          <t>Window Shop</t>
        </is>
      </c>
      <c r="D118" s="23" t="inlineStr">
        <is>
          <t>Fun</t>
        </is>
      </c>
      <c r="E118" s="23" t="inlineStr">
        <is>
          <t>None</t>
        </is>
      </c>
      <c r="F118" s="23" t="n">
        <v>1</v>
      </c>
      <c r="G118" s="23" t="n">
        <v>0</v>
      </c>
      <c r="H118" s="23">
        <f>ROUND($G118*Settings!$B$3,0)</f>
        <v/>
      </c>
      <c r="I118" s="23">
        <f>ROUND($G118*Settings!$B$4,0)</f>
        <v/>
      </c>
      <c r="J118" s="23">
        <f>ROUND($G118*Settings!$B$5,0)</f>
        <v/>
      </c>
      <c r="K118" s="23" t="inlineStr">
        <is>
          <t>Happiness</t>
        </is>
      </c>
      <c r="L118" s="23" t="n">
        <v>0.025</v>
      </c>
      <c r="M118" s="23">
        <f>ROUND($L118*Settings!$B$3,0)</f>
        <v/>
      </c>
      <c r="N118" s="23">
        <f>ROUND($L118*Settings!$B$4,0)</f>
        <v/>
      </c>
      <c r="O118" s="23">
        <f>ROUND($L118*Settings!$B$5,0)</f>
        <v/>
      </c>
      <c r="Q118" s="23" t="n">
        <v>0</v>
      </c>
      <c r="R118" s="23">
        <f>ROUND($Q118*Settings!$B$3,0)</f>
        <v/>
      </c>
      <c r="S118" s="23">
        <f>ROUND($Q118*Settings!$B$4,0)</f>
        <v/>
      </c>
      <c r="T118" s="23">
        <f>ROUND($Q118*Settings!$B$5,0)</f>
        <v/>
      </c>
      <c r="V118" s="23" t="n">
        <v>0</v>
      </c>
      <c r="W118" s="23" t="inlineStr">
        <is>
          <t>Money</t>
        </is>
      </c>
      <c r="X118" s="23" t="n">
        <v>0.01</v>
      </c>
      <c r="Z118" s="23" t="n">
        <v>0</v>
      </c>
      <c r="AB118" s="23" t="inlineStr">
        <is>
          <t>Temptation joke</t>
        </is>
      </c>
      <c r="AC118" s="23" t="inlineStr">
        <is>
          <t>MVP</t>
        </is>
      </c>
    </row>
    <row r="119" ht="15" customHeight="1" s="24">
      <c r="A119" s="37" t="inlineStr">
        <is>
          <t>A118</t>
        </is>
      </c>
      <c r="B119" s="37" t="inlineStr">
        <is>
          <t>Mall</t>
        </is>
      </c>
      <c r="C119" s="37" t="inlineStr">
        <is>
          <t>Work</t>
        </is>
      </c>
      <c r="D119" s="37" t="inlineStr">
        <is>
          <t>Work</t>
        </is>
      </c>
      <c r="E119" s="37" t="inlineStr">
        <is>
          <t>Job assigned at Corporate Soul Exchange</t>
        </is>
      </c>
      <c r="F119" s="37" t="n">
        <v>2</v>
      </c>
      <c r="G119" s="37" t="n">
        <v>0</v>
      </c>
      <c r="H119" s="37">
        <f>ROUND($G119*Settings!$B$3,0)</f>
        <v/>
      </c>
      <c r="I119" s="37">
        <f>ROUND($G119*Settings!$B$4,0)</f>
        <v/>
      </c>
      <c r="J119" s="37">
        <f>ROUND($G119*Settings!$B$5,0)</f>
        <v/>
      </c>
      <c r="K119" s="37" t="inlineStr">
        <is>
          <t>From job tier</t>
        </is>
      </c>
      <c r="L119" s="37" t="n">
        <v>0</v>
      </c>
      <c r="M119" s="37">
        <f>ROUND($L119*Settings!$B$3,0)</f>
        <v/>
      </c>
      <c r="N119" s="37">
        <f>ROUND($L119*Settings!$B$4,0)</f>
        <v/>
      </c>
      <c r="O119" s="37">
        <f>ROUND($L119*Settings!$B$5,0)</f>
        <v/>
      </c>
      <c r="P119" s="37" t="inlineStr">
        <is>
          <t>From job tier</t>
        </is>
      </c>
      <c r="Q119" s="37" t="n">
        <v>0</v>
      </c>
      <c r="R119" s="37">
        <f>ROUND($Q119*Settings!$B$3,0)</f>
        <v/>
      </c>
      <c r="S119" s="37">
        <f>ROUND($Q119*Settings!$B$4,0)</f>
        <v/>
      </c>
      <c r="T119" s="37">
        <f>ROUND($Q119*Settings!$B$5,0)</f>
        <v/>
      </c>
      <c r="U119" s="37" t="n"/>
      <c r="V119" s="37" t="n">
        <v>0</v>
      </c>
      <c r="W119" s="37" t="inlineStr">
        <is>
          <t>Health</t>
        </is>
      </c>
      <c r="X119" s="37" t="n">
        <v>0.02</v>
      </c>
      <c r="Y119" s="37" t="inlineStr">
        <is>
          <t>Happiness</t>
        </is>
      </c>
      <c r="Z119" s="37" t="n">
        <v>0.02</v>
      </c>
      <c r="AA119" s="37" t="inlineStr">
        <is>
          <t>One work click (2 Time Units). Money and Career come from the current job tier in Jobs_Named / Job_Progression, NOT from this row. Money is then multiplied by this building's Money Multiplier. Career is subject to the per-turn diminishing-returns rule in Settings.</t>
        </is>
      </c>
      <c r="AB119" s="37" t="inlineStr">
        <is>
          <t>v6 BUG FIX: this row used to grant Money 6%B ($6) and Career 4-6%B on top of the job tier's own pay and Career, which double-counted Career and contradicted the v5 wage table ($40-$400 per click). Both are now zero here.</t>
        </is>
      </c>
      <c r="AC119" s="37" t="inlineStr">
        <is>
          <t>MVP</t>
        </is>
      </c>
      <c r="AD119" s="37" t="inlineStr">
        <is>
          <t>Work</t>
        </is>
      </c>
      <c r="AE119" s="37" t="n"/>
      <c r="AF119" s="37" t="n"/>
      <c r="AG119" s="37" t="n"/>
      <c r="AH119" s="37" t="n">
        <v>1</v>
      </c>
      <c r="AI119" s="37" t="inlineStr">
        <is>
          <t>Money/Career now sourced from job tier; building Money Multiplier added</t>
        </is>
      </c>
    </row>
    <row r="120" ht="15" customHeight="1" s="24">
      <c r="A120" s="23" t="inlineStr">
        <is>
          <t>A119</t>
        </is>
      </c>
      <c r="B120" s="23" t="inlineStr">
        <is>
          <t>Debtstreet Capital</t>
        </is>
      </c>
      <c r="C120" s="23" t="inlineStr">
        <is>
          <t>Cash Out Investment</t>
        </is>
      </c>
      <c r="D120" s="23" t="inlineStr">
        <is>
          <t>Investment</t>
        </is>
      </c>
      <c r="E120" s="23" t="inlineStr">
        <is>
          <t>Holds at least one asset</t>
        </is>
      </c>
      <c r="F120" s="23" t="n">
        <v>1</v>
      </c>
      <c r="G120" s="23" t="n">
        <v>0</v>
      </c>
      <c r="K120" s="23" t="inlineStr">
        <is>
          <t>Money</t>
        </is>
      </c>
      <c r="L120" s="23" t="n">
        <v>0</v>
      </c>
      <c r="AA120" s="23" t="inlineStr">
        <is>
          <t>Sell one held asset: returns 100% of that asset's principal as Money and removes the holding (it stops drawing cards). Principal values: Savings 10%B, Bonds 15%B, Stocks 20%B, Crypto 25%B.</t>
        </is>
      </c>
      <c r="AB120" s="23" t="inlineStr">
        <is>
          <t>v4: new. Gives players an exit, so holdings are a real decision instead of a permanent passive.</t>
        </is>
      </c>
      <c r="AC120" s="23" t="inlineStr">
        <is>
          <t>MVP</t>
        </is>
      </c>
    </row>
    <row r="121" ht="15" customHeight="1" s="24">
      <c r="A121" s="23" t="inlineStr">
        <is>
          <t>A120</t>
        </is>
      </c>
      <c r="B121" s="23" t="inlineStr">
        <is>
          <t>High IQ University</t>
        </is>
      </c>
      <c r="C121" s="23" t="inlineStr">
        <is>
          <t>Attend Course</t>
        </is>
      </c>
      <c r="D121" s="23" t="inlineStr">
        <is>
          <t>Education</t>
        </is>
      </c>
      <c r="E121" s="23" t="inlineStr">
        <is>
          <t>Next unlocked course in the current path; course fee payable</t>
        </is>
      </c>
      <c r="F121" s="23" t="n">
        <v>1</v>
      </c>
      <c r="G121" s="23" t="n">
        <v>0</v>
      </c>
      <c r="K121" s="23" t="inlineStr">
        <is>
          <t>Critical Thinking</t>
        </is>
      </c>
      <c r="L121" s="23" t="n">
        <v>0</v>
      </c>
      <c r="P121" s="23" t="inlineStr">
        <is>
          <t>Career</t>
        </is>
      </c>
      <c r="Q121" s="23" t="n">
        <v>0</v>
      </c>
      <c r="AA121" s="23" t="inlineStr">
        <is>
          <t>One click of study on the currently unlocked course. Cost, clicks required, and stat gains come from the Education_Paths sheet (they vary by path). Completing a course unlocks the next; completing a path unlocks the next path and its job tier.</t>
        </is>
      </c>
      <c r="AB121" s="23" t="inlineStr">
        <is>
          <t>v5: replaces Take Class / Finish Undergrad / Finish Master's / Finish PhD. 1 click = 1 Time Unit.</t>
        </is>
      </c>
      <c r="AC121" s="23" t="inlineStr">
        <is>
          <t>MVP</t>
        </is>
      </c>
    </row>
    <row r="122" ht="15" customHeight="1" s="24">
      <c r="A122" s="23" t="inlineStr">
        <is>
          <t>A121</t>
        </is>
      </c>
      <c r="B122" s="23" t="inlineStr">
        <is>
          <t>Air One Supermarket</t>
        </is>
      </c>
      <c r="C122" s="23" t="inlineStr">
        <is>
          <t>Buy 2 Weeks of Groceries</t>
        </is>
      </c>
      <c r="D122" s="23" t="inlineStr">
        <is>
          <t>Food</t>
        </is>
      </c>
      <c r="E122" s="23" t="inlineStr">
        <is>
          <t>Fridge required</t>
        </is>
      </c>
      <c r="F122" s="23" t="n">
        <v>1</v>
      </c>
      <c r="G122" s="23" t="n">
        <v>0.7</v>
      </c>
      <c r="K122" s="23" t="inlineStr">
        <is>
          <t>Health</t>
        </is>
      </c>
      <c r="L122" s="23" t="n">
        <v>0.03</v>
      </c>
      <c r="AA122" s="23" t="inlineStr">
        <is>
          <t>Stores 2 weeks of food. Requires a fridge; without one this option is unavailable.</t>
        </is>
      </c>
      <c r="AB122" s="23" t="inlineStr">
        <is>
          <t>v5: new, per the fridge storage rule ($70)</t>
        </is>
      </c>
      <c r="AC122" s="23" t="inlineStr">
        <is>
          <t>MVP</t>
        </is>
      </c>
      <c r="AD122" s="23" t="inlineStr">
        <is>
          <t>Food supply (not a meal)</t>
        </is>
      </c>
    </row>
    <row r="123" ht="15" customHeight="1" s="24">
      <c r="A123" s="37" t="inlineStr">
        <is>
          <t>A122</t>
        </is>
      </c>
      <c r="B123" s="37" t="inlineStr">
        <is>
          <t>Bro Science Gym</t>
        </is>
      </c>
      <c r="C123" s="37" t="inlineStr">
        <is>
          <t>Group Fitness Class</t>
        </is>
      </c>
      <c r="D123" s="37" t="inlineStr">
        <is>
          <t>Health/Social</t>
        </is>
      </c>
      <c r="E123" s="37" t="inlineStr">
        <is>
          <t>None</t>
        </is>
      </c>
      <c r="F123" s="37" t="n">
        <v>2</v>
      </c>
      <c r="G123" s="37" t="n">
        <v>0.04</v>
      </c>
      <c r="H123" s="37">
        <f>ROUND($G123*Settings!$B$3,0)</f>
        <v/>
      </c>
      <c r="I123" s="37">
        <f>ROUND($G123*Settings!$B$4,0)</f>
        <v/>
      </c>
      <c r="J123" s="37">
        <f>ROUND($G123*Settings!$B$5,0)</f>
        <v/>
      </c>
      <c r="K123" s="37" t="inlineStr">
        <is>
          <t>Connection</t>
        </is>
      </c>
      <c r="L123" s="37" t="n">
        <v>0.06</v>
      </c>
      <c r="M123" s="37" t="n"/>
      <c r="N123" s="37" t="n"/>
      <c r="O123" s="37" t="n"/>
      <c r="P123" s="37" t="inlineStr">
        <is>
          <t>Health</t>
        </is>
      </c>
      <c r="Q123" s="37" t="n">
        <v>0.05</v>
      </c>
      <c r="R123" s="37" t="n"/>
      <c r="S123" s="37" t="n"/>
      <c r="T123" s="37" t="n"/>
      <c r="U123" s="37" t="n"/>
      <c r="V123" s="37" t="n"/>
      <c r="W123" s="37" t="n"/>
      <c r="X123" s="37" t="n"/>
      <c r="Y123" s="37" t="n"/>
      <c r="Z123" s="37" t="n"/>
      <c r="AA123" s="37" t="inlineStr">
        <is>
          <t>The gym is where you meet people. This is the Connection route into a Health building.</t>
        </is>
      </c>
      <c r="AB123" s="37" t="inlineStr">
        <is>
          <t>Added in v6 so the gym offers something home exercise cannot: other human beings.</t>
        </is>
      </c>
      <c r="AC123" s="37" t="inlineStr">
        <is>
          <t>MVP</t>
        </is>
      </c>
      <c r="AD123" s="37" t="inlineStr">
        <is>
          <t>Relax</t>
        </is>
      </c>
      <c r="AE123" s="37" t="n"/>
      <c r="AF123" s="37" t="n"/>
      <c r="AG123" s="37" t="inlineStr">
        <is>
          <t>Coolness Factor +1</t>
        </is>
      </c>
      <c r="AH123" s="37" t="n"/>
      <c r="AI123" s="37" t="inlineStr">
        <is>
          <t>NEW ACTION in v6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S5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3" min="1" max="2"/>
    <col width="20" customWidth="1" style="23" min="3" max="3"/>
    <col width="12" customWidth="1" style="23" min="4" max="16"/>
    <col width="11" customWidth="1" style="23" min="17" max="17"/>
  </cols>
  <sheetData>
    <row r="1" ht="15" customHeight="1" s="24">
      <c r="A1" s="31" t="inlineStr">
        <is>
          <t>Item_ID</t>
        </is>
      </c>
      <c r="B1" s="31" t="inlineStr">
        <is>
          <t>Shop / Group</t>
        </is>
      </c>
      <c r="C1" s="31" t="inlineStr">
        <is>
          <t>Item</t>
        </is>
      </c>
      <c r="D1" s="31" t="inlineStr">
        <is>
          <t>Slot</t>
        </is>
      </c>
      <c r="E1" s="31" t="inlineStr">
        <is>
          <t>Requirement</t>
        </is>
      </c>
      <c r="F1" s="23" t="inlineStr">
        <is>
          <t>Housing Requirement</t>
        </is>
      </c>
      <c r="G1" s="31" t="inlineStr">
        <is>
          <t>Cost %B</t>
        </is>
      </c>
      <c r="H1" s="31" t="inlineStr">
        <is>
          <t>Cost Short</t>
        </is>
      </c>
      <c r="I1" s="31" t="inlineStr">
        <is>
          <t>Cost Medium</t>
        </is>
      </c>
      <c r="J1" s="31" t="inlineStr">
        <is>
          <t>Cost Long</t>
        </is>
      </c>
      <c r="K1" s="31" t="inlineStr">
        <is>
          <t>Stat Bonus</t>
        </is>
      </c>
      <c r="L1" s="31" t="inlineStr">
        <is>
          <t>Bonus %</t>
        </is>
      </c>
      <c r="M1" s="31" t="inlineStr">
        <is>
          <t>Penalty Stat</t>
        </is>
      </c>
      <c r="N1" s="31" t="inlineStr">
        <is>
          <t>Penalty %</t>
        </is>
      </c>
      <c r="O1" s="31" t="inlineStr">
        <is>
          <t>Unlock / Effect</t>
        </is>
      </c>
      <c r="P1" s="31" t="inlineStr">
        <is>
          <t>Notes</t>
        </is>
      </c>
      <c r="Q1" s="31" t="inlineStr">
        <is>
          <t>MVP Priority</t>
        </is>
      </c>
      <c r="R1" s="31" t="inlineStr">
        <is>
          <t>Bonus Trigger (v5)</t>
        </is>
      </c>
      <c r="S1" s="31" t="inlineStr">
        <is>
          <t>Flat Bonus (Short) (v5)</t>
        </is>
      </c>
    </row>
    <row r="2" ht="15" customHeight="1" s="24">
      <c r="A2" s="23" t="inlineStr">
        <is>
          <t>I001</t>
        </is>
      </c>
      <c r="B2" s="23" t="inlineStr">
        <is>
          <t>Transportation</t>
        </is>
      </c>
      <c r="C2" s="23" t="inlineStr">
        <is>
          <t>Bus Pass</t>
        </is>
      </c>
      <c r="D2" s="23" t="inlineStr">
        <is>
          <t>Transport</t>
        </is>
      </c>
      <c r="E2" s="23" t="inlineStr">
        <is>
          <t>None</t>
        </is>
      </c>
      <c r="F2" s="23" t="inlineStr">
        <is>
          <t>Any</t>
        </is>
      </c>
      <c r="G2" s="23" t="n">
        <v>1</v>
      </c>
      <c r="H2" s="23">
        <f>ROUND($G2*Settings!$B$3,0)</f>
        <v/>
      </c>
      <c r="I2" s="23">
        <f>ROUND($G2*Settings!$B$4,0)</f>
        <v/>
      </c>
      <c r="J2" s="23">
        <f>ROUND($G2*Settings!$B$5,0)</f>
        <v/>
      </c>
      <c r="L2" s="23" t="n">
        <v>0</v>
      </c>
      <c r="O2" s="23" t="inlineStr">
        <is>
          <t>Slightly reduced movement cost</t>
        </is>
      </c>
      <c r="P2" s="23" t="inlineStr">
        <is>
          <t>Entry mobility</t>
        </is>
      </c>
      <c r="Q2" s="23" t="inlineStr">
        <is>
          <t>MVP</t>
        </is>
      </c>
    </row>
    <row r="3" ht="15" customHeight="1" s="24">
      <c r="A3" s="23" t="inlineStr">
        <is>
          <t>I002</t>
        </is>
      </c>
      <c r="B3" s="23" t="inlineStr">
        <is>
          <t>Transportation</t>
        </is>
      </c>
      <c r="C3" s="23" t="inlineStr">
        <is>
          <t>Bicycle</t>
        </is>
      </c>
      <c r="D3" s="23" t="inlineStr">
        <is>
          <t>Transport</t>
        </is>
      </c>
      <c r="E3" s="23" t="inlineStr">
        <is>
          <t>None</t>
        </is>
      </c>
      <c r="F3" s="23" t="inlineStr">
        <is>
          <t>Any</t>
        </is>
      </c>
      <c r="G3" s="23" t="n">
        <v>7.5</v>
      </c>
      <c r="H3" s="23">
        <f>ROUND($G3*Settings!$B$3,0)</f>
        <v/>
      </c>
      <c r="I3" s="23">
        <f>ROUND($G3*Settings!$B$4,0)</f>
        <v/>
      </c>
      <c r="J3" s="23">
        <f>ROUND($G3*Settings!$B$5,0)</f>
        <v/>
      </c>
      <c r="K3" s="23" t="inlineStr">
        <is>
          <t>Health</t>
        </is>
      </c>
      <c r="L3" s="23" t="n">
        <v>0.05</v>
      </c>
      <c r="O3" s="23" t="inlineStr">
        <is>
          <t>Faster movement + small Health benefit</t>
        </is>
      </c>
      <c r="P3" s="23" t="inlineStr">
        <is>
          <t>Good early investment; still reachable in the first third of the game</t>
        </is>
      </c>
      <c r="Q3" s="23" t="inlineStr">
        <is>
          <t>MVP</t>
        </is>
      </c>
    </row>
    <row r="4" ht="15" customHeight="1" s="24">
      <c r="A4" s="23" t="inlineStr">
        <is>
          <t>I003</t>
        </is>
      </c>
      <c r="B4" s="23" t="inlineStr">
        <is>
          <t>Transportation</t>
        </is>
      </c>
      <c r="C4" s="23" t="inlineStr">
        <is>
          <t>Car</t>
        </is>
      </c>
      <c r="D4" s="23" t="inlineStr">
        <is>
          <t>Transport</t>
        </is>
      </c>
      <c r="E4" s="23" t="inlineStr">
        <is>
          <t>None</t>
        </is>
      </c>
      <c r="F4" s="23" t="inlineStr">
        <is>
          <t>Any</t>
        </is>
      </c>
      <c r="G4" s="23" t="n">
        <v>20</v>
      </c>
      <c r="H4" s="23">
        <f>ROUND($G4*Settings!$B$3,0)</f>
        <v/>
      </c>
      <c r="I4" s="23">
        <f>ROUND($G4*Settings!$B$4,0)</f>
        <v/>
      </c>
      <c r="J4" s="23">
        <f>ROUND($G4*Settings!$B$5,0)</f>
        <v/>
      </c>
      <c r="L4" s="23" t="n">
        <v>0</v>
      </c>
      <c r="O4" s="23" t="inlineStr">
        <is>
          <t>Fastest movement; no upkeep</t>
        </is>
      </c>
      <c r="P4" s="23" t="inlineStr">
        <is>
          <t>v4: major late-game purchase. Roughly a full game-third of savings on a mid job</t>
        </is>
      </c>
      <c r="Q4" s="23" t="inlineStr">
        <is>
          <t>MVP</t>
        </is>
      </c>
    </row>
    <row r="5" ht="15" customHeight="1" s="24">
      <c r="A5" s="23" t="inlineStr">
        <is>
          <t>I004</t>
        </is>
      </c>
      <c r="B5" s="23" t="inlineStr">
        <is>
          <t>Electronics/Appliances</t>
        </is>
      </c>
      <c r="C5" s="23" t="inlineStr">
        <is>
          <t>Computer</t>
        </is>
      </c>
      <c r="D5" s="23" t="inlineStr">
        <is>
          <t>Tech</t>
        </is>
      </c>
      <c r="E5" s="23" t="inlineStr">
        <is>
          <t>Desk recommended</t>
        </is>
      </c>
      <c r="F5" s="23" t="inlineStr">
        <is>
          <t>Any</t>
        </is>
      </c>
      <c r="G5" s="23" t="n">
        <v>10</v>
      </c>
      <c r="H5" s="23">
        <f>ROUND($G5*Settings!$B$3,0)</f>
        <v/>
      </c>
      <c r="I5" s="23">
        <f>ROUND($G5*Settings!$B$4,0)</f>
        <v/>
      </c>
      <c r="J5" s="23">
        <f>ROUND($G5*Settings!$B$5,0)</f>
        <v/>
      </c>
      <c r="K5" s="23" t="inlineStr">
        <is>
          <t>Critical Thinking</t>
        </is>
      </c>
      <c r="L5" s="23" t="n">
        <v>0.04</v>
      </c>
      <c r="O5" s="23" t="inlineStr">
        <is>
          <t>Required for better jobs / work from home</t>
        </is>
      </c>
      <c r="P5" s="23" t="inlineStr">
        <is>
          <t>v4: core career item, now a real mid-game goal</t>
        </is>
      </c>
      <c r="Q5" s="23" t="inlineStr">
        <is>
          <t>MVP</t>
        </is>
      </c>
    </row>
    <row r="6" ht="15" customHeight="1" s="24">
      <c r="A6" s="23" t="inlineStr">
        <is>
          <t>I005</t>
        </is>
      </c>
      <c r="B6" s="23" t="inlineStr">
        <is>
          <t>Electronics/Appliances</t>
        </is>
      </c>
      <c r="C6" s="23" t="inlineStr">
        <is>
          <t>Mobile Phone</t>
        </is>
      </c>
      <c r="D6" s="23" t="inlineStr">
        <is>
          <t>Tech</t>
        </is>
      </c>
      <c r="E6" s="23" t="inlineStr">
        <is>
          <t>None</t>
        </is>
      </c>
      <c r="F6" s="23" t="inlineStr">
        <is>
          <t>Any</t>
        </is>
      </c>
      <c r="G6" s="23" t="n">
        <v>5</v>
      </c>
      <c r="H6" s="23">
        <f>ROUND($G6*Settings!$B$3,0)</f>
        <v/>
      </c>
      <c r="I6" s="23">
        <f>ROUND($G6*Settings!$B$4,0)</f>
        <v/>
      </c>
      <c r="J6" s="23">
        <f>ROUND($G6*Settings!$B$5,0)</f>
        <v/>
      </c>
      <c r="K6" s="23" t="inlineStr">
        <is>
          <t>Career</t>
        </is>
      </c>
      <c r="L6" s="23" t="n">
        <v>0.03</v>
      </c>
      <c r="O6" s="23" t="inlineStr">
        <is>
          <t>Job calls + social events</t>
        </is>
      </c>
      <c r="P6" s="23" t="inlineStr">
        <is>
          <t>Personal item, no housing needed</t>
        </is>
      </c>
      <c r="Q6" s="23" t="inlineStr">
        <is>
          <t>MVP</t>
        </is>
      </c>
    </row>
    <row r="7" ht="15" customHeight="1" s="24">
      <c r="A7" s="23" t="inlineStr">
        <is>
          <t>I006</t>
        </is>
      </c>
      <c r="B7" s="23" t="inlineStr">
        <is>
          <t>Electronics/Appliances</t>
        </is>
      </c>
      <c r="C7" s="23" t="inlineStr">
        <is>
          <t>Camera</t>
        </is>
      </c>
      <c r="D7" s="23" t="inlineStr">
        <is>
          <t>Tech</t>
        </is>
      </c>
      <c r="E7" s="23" t="inlineStr">
        <is>
          <t>None</t>
        </is>
      </c>
      <c r="F7" s="23" t="inlineStr">
        <is>
          <t>Any</t>
        </is>
      </c>
      <c r="G7" s="23" t="n">
        <v>8</v>
      </c>
      <c r="H7" s="23">
        <f>ROUND($G7*Settings!$B$3,0)</f>
        <v/>
      </c>
      <c r="I7" s="23">
        <f>ROUND($G7*Settings!$B$4,0)</f>
        <v/>
      </c>
      <c r="J7" s="23">
        <f>ROUND($G7*Settings!$B$5,0)</f>
        <v/>
      </c>
      <c r="K7" s="23" t="inlineStr">
        <is>
          <t>Connection</t>
        </is>
      </c>
      <c r="L7" s="23" t="n">
        <v>0.04</v>
      </c>
      <c r="O7" s="23" t="inlineStr">
        <is>
          <t>Creator/social route</t>
        </is>
      </c>
      <c r="P7" s="23" t="inlineStr">
        <is>
          <t>Creator/social route</t>
        </is>
      </c>
      <c r="Q7" s="23" t="inlineStr">
        <is>
          <t>MVP</t>
        </is>
      </c>
    </row>
    <row r="8" ht="15" customHeight="1" s="24">
      <c r="A8" s="23" t="inlineStr">
        <is>
          <t>I007</t>
        </is>
      </c>
      <c r="B8" s="23" t="inlineStr">
        <is>
          <t>Electronics/Appliances</t>
        </is>
      </c>
      <c r="C8" s="23" t="inlineStr">
        <is>
          <t>TV</t>
        </is>
      </c>
      <c r="D8" s="23" t="inlineStr">
        <is>
          <t>Tech</t>
        </is>
      </c>
      <c r="E8" s="23" t="inlineStr">
        <is>
          <t>Luxury apartment</t>
        </is>
      </c>
      <c r="F8" s="23" t="inlineStr">
        <is>
          <t>Luxury only</t>
        </is>
      </c>
      <c r="G8" s="23" t="n">
        <v>5</v>
      </c>
      <c r="H8" s="23">
        <f>ROUND($G8*Settings!$B$3,0)</f>
        <v/>
      </c>
      <c r="I8" s="23">
        <f>ROUND($G8*Settings!$B$4,0)</f>
        <v/>
      </c>
      <c r="J8" s="23">
        <f>ROUND($G8*Settings!$B$5,0)</f>
        <v/>
      </c>
      <c r="K8" s="23" t="inlineStr">
        <is>
          <t>Happiness</t>
        </is>
      </c>
      <c r="L8" s="23" t="n">
        <v>0.04</v>
      </c>
      <c r="O8" s="23" t="inlineStr">
        <is>
          <t>Home happiness bonus</t>
        </is>
      </c>
      <c r="P8" s="23" t="inlineStr">
        <is>
          <t>v4: hard-gated. No room for a TV in low-cost housing</t>
        </is>
      </c>
      <c r="Q8" s="23" t="inlineStr">
        <is>
          <t>MVP</t>
        </is>
      </c>
    </row>
    <row r="9" ht="15" customHeight="1" s="24">
      <c r="A9" s="23" t="inlineStr">
        <is>
          <t>I008</t>
        </is>
      </c>
      <c r="B9" s="23" t="inlineStr">
        <is>
          <t>Electronics/Appliances</t>
        </is>
      </c>
      <c r="C9" s="23" t="inlineStr">
        <is>
          <t>Blu-ray</t>
        </is>
      </c>
      <c r="D9" s="23" t="inlineStr">
        <is>
          <t>Tech</t>
        </is>
      </c>
      <c r="E9" s="23" t="inlineStr">
        <is>
          <t>TV owned</t>
        </is>
      </c>
      <c r="F9" s="23" t="inlineStr">
        <is>
          <t>Luxury only</t>
        </is>
      </c>
      <c r="G9" s="23" t="n">
        <v>3</v>
      </c>
      <c r="H9" s="23">
        <f>ROUND($G9*Settings!$B$3,0)</f>
        <v/>
      </c>
      <c r="I9" s="23">
        <f>ROUND($G9*Settings!$B$4,0)</f>
        <v/>
      </c>
      <c r="J9" s="23">
        <f>ROUND($G9*Settings!$B$5,0)</f>
        <v/>
      </c>
      <c r="K9" s="23" t="inlineStr">
        <is>
          <t>Happiness</t>
        </is>
      </c>
      <c r="L9" s="23" t="n">
        <v>0.03</v>
      </c>
      <c r="O9" s="23" t="inlineStr">
        <is>
          <t>Extra entertainment</t>
        </is>
      </c>
      <c r="P9" s="23" t="inlineStr">
        <is>
          <t>v4: hard-gated behind TV + luxury</t>
        </is>
      </c>
      <c r="Q9" s="23" t="inlineStr">
        <is>
          <t>MVP</t>
        </is>
      </c>
    </row>
    <row r="10" ht="15" customHeight="1" s="24">
      <c r="A10" s="23" t="inlineStr">
        <is>
          <t>I009</t>
        </is>
      </c>
      <c r="B10" s="23" t="inlineStr">
        <is>
          <t>Electronics/Appliances</t>
        </is>
      </c>
      <c r="C10" s="23" t="inlineStr">
        <is>
          <t>E-reader</t>
        </is>
      </c>
      <c r="D10" s="23" t="inlineStr">
        <is>
          <t>Tech</t>
        </is>
      </c>
      <c r="E10" s="23" t="inlineStr">
        <is>
          <t>None</t>
        </is>
      </c>
      <c r="F10" s="23" t="inlineStr">
        <is>
          <t>Any</t>
        </is>
      </c>
      <c r="G10" s="23" t="n">
        <v>1</v>
      </c>
      <c r="H10" s="23">
        <f>ROUND($G10*Settings!$B$3,0)</f>
        <v/>
      </c>
      <c r="I10" s="23">
        <f>ROUND($G10*Settings!$B$4,0)</f>
        <v/>
      </c>
      <c r="J10" s="23">
        <f>ROUND($G10*Settings!$B$5,0)</f>
        <v/>
      </c>
      <c r="K10" s="23" t="inlineStr">
        <is>
          <t>Critical Thinking</t>
        </is>
      </c>
      <c r="L10" s="23" t="n">
        <v>0.05</v>
      </c>
      <c r="O10" s="23" t="inlineStr">
        <is>
          <t>Reading bonus</t>
        </is>
      </c>
      <c r="P10" s="23" t="inlineStr">
        <is>
          <t>Personal item</t>
        </is>
      </c>
      <c r="Q10" s="23" t="inlineStr">
        <is>
          <t>MVP</t>
        </is>
      </c>
    </row>
    <row r="11" ht="15" customHeight="1" s="24">
      <c r="A11" s="23" t="inlineStr">
        <is>
          <t>I010</t>
        </is>
      </c>
      <c r="B11" s="23" t="inlineStr">
        <is>
          <t>Electronics/Appliances</t>
        </is>
      </c>
      <c r="C11" s="23" t="inlineStr">
        <is>
          <t>Stereo</t>
        </is>
      </c>
      <c r="D11" s="23" t="inlineStr">
        <is>
          <t>Tech</t>
        </is>
      </c>
      <c r="E11" s="23" t="inlineStr">
        <is>
          <t>Luxury apartment</t>
        </is>
      </c>
      <c r="F11" s="23" t="inlineStr">
        <is>
          <t>Luxury only</t>
        </is>
      </c>
      <c r="G11" s="23" t="n">
        <v>2</v>
      </c>
      <c r="H11" s="23">
        <f>ROUND($G11*Settings!$B$3,0)</f>
        <v/>
      </c>
      <c r="I11" s="23">
        <f>ROUND($G11*Settings!$B$4,0)</f>
        <v/>
      </c>
      <c r="J11" s="23">
        <f>ROUND($G11*Settings!$B$5,0)</f>
        <v/>
      </c>
      <c r="K11" s="23" t="inlineStr">
        <is>
          <t>Happiness</t>
        </is>
      </c>
      <c r="L11" s="23" t="n">
        <v>0.04</v>
      </c>
      <c r="O11" s="23" t="inlineStr">
        <is>
          <t>Home entertainment</t>
        </is>
      </c>
      <c r="P11" s="23" t="inlineStr">
        <is>
          <t>v4: hard-gated</t>
        </is>
      </c>
      <c r="Q11" s="23" t="inlineStr">
        <is>
          <t>MVP</t>
        </is>
      </c>
    </row>
    <row r="12" ht="15" customHeight="1" s="24">
      <c r="A12" s="23" t="inlineStr">
        <is>
          <t>I011</t>
        </is>
      </c>
      <c r="B12" s="23" t="inlineStr">
        <is>
          <t>Electronics/Appliances</t>
        </is>
      </c>
      <c r="C12" s="23" t="inlineStr">
        <is>
          <t>Watch</t>
        </is>
      </c>
      <c r="D12" s="23" t="inlineStr">
        <is>
          <t>Accessory</t>
        </is>
      </c>
      <c r="E12" s="23" t="inlineStr">
        <is>
          <t>None</t>
        </is>
      </c>
      <c r="F12" s="23" t="inlineStr">
        <is>
          <t>Any</t>
        </is>
      </c>
      <c r="G12" s="23" t="n">
        <v>0.25</v>
      </c>
      <c r="H12" s="23">
        <f>ROUND($G12*Settings!$B$3,0)</f>
        <v/>
      </c>
      <c r="I12" s="23">
        <f>ROUND($G12*Settings!$B$4,0)</f>
        <v/>
      </c>
      <c r="J12" s="23">
        <f>ROUND($G12*Settings!$B$5,0)</f>
        <v/>
      </c>
      <c r="K12" s="23" t="inlineStr">
        <is>
          <t>Coolness Factor</t>
        </is>
      </c>
      <c r="L12" s="23" t="n">
        <v>0.05</v>
      </c>
      <c r="O12" s="23" t="inlineStr">
        <is>
          <t>Coolness accessory</t>
        </is>
      </c>
      <c r="P12" s="23" t="inlineStr">
        <is>
          <t>Coolness accessory</t>
        </is>
      </c>
      <c r="Q12" s="23" t="inlineStr">
        <is>
          <t>MVP</t>
        </is>
      </c>
    </row>
    <row r="13" ht="15" customHeight="1" s="24">
      <c r="A13" s="23" t="inlineStr">
        <is>
          <t>I012</t>
        </is>
      </c>
      <c r="B13" s="23" t="inlineStr">
        <is>
          <t>Electronics/Appliances</t>
        </is>
      </c>
      <c r="C13" s="23" t="inlineStr">
        <is>
          <t>Fridge</t>
        </is>
      </c>
      <c r="D13" s="23" t="inlineStr">
        <is>
          <t>Appliance</t>
        </is>
      </c>
      <c r="E13" s="23" t="inlineStr">
        <is>
          <t>Any housing</t>
        </is>
      </c>
      <c r="F13" s="23" t="inlineStr">
        <is>
          <t>Low Cost OK</t>
        </is>
      </c>
      <c r="G13" s="23" t="n">
        <v>9.5</v>
      </c>
      <c r="H13" s="23">
        <f>ROUND($G13*Settings!$B$3,0)</f>
        <v/>
      </c>
      <c r="I13" s="23">
        <f>ROUND($G13*Settings!$B$4,0)</f>
        <v/>
      </c>
      <c r="J13" s="23">
        <f>ROUND($G13*Settings!$B$5,0)</f>
        <v/>
      </c>
      <c r="L13" s="23" t="n">
        <v>0</v>
      </c>
      <c r="O13" s="23" t="inlineStr">
        <is>
          <t>REQUIRED to store 2-week and 4-week groceries from Air One. Without a fridge those bulk options are unavailable and any bulk food already held spoils. Also grants a one-time Health +3 on purchase.</t>
        </is>
      </c>
      <c r="P13" s="23" t="inlineStr">
        <is>
          <t>v4: food engine, priced as a mid-game unlock</t>
        </is>
      </c>
      <c r="Q13" s="23" t="inlineStr">
        <is>
          <t>MVP</t>
        </is>
      </c>
      <c r="R13" s="23" t="inlineStr">
        <is>
          <t>ONE-TIME on purchase</t>
        </is>
      </c>
      <c r="S13" s="23" t="inlineStr">
        <is>
          <t>Health +3</t>
        </is>
      </c>
    </row>
    <row r="14" ht="15" customHeight="1" s="24">
      <c r="A14" s="23" t="inlineStr">
        <is>
          <t>I013</t>
        </is>
      </c>
      <c r="B14" s="23" t="inlineStr">
        <is>
          <t>Electronics/Appliances</t>
        </is>
      </c>
      <c r="C14" s="23" t="inlineStr">
        <is>
          <t>Stove</t>
        </is>
      </c>
      <c r="D14" s="23" t="inlineStr">
        <is>
          <t>Appliance</t>
        </is>
      </c>
      <c r="E14" s="23" t="inlineStr">
        <is>
          <t>Any housing</t>
        </is>
      </c>
      <c r="F14" s="23" t="inlineStr">
        <is>
          <t>Low Cost OK</t>
        </is>
      </c>
      <c r="G14" s="23" t="n">
        <v>6.5</v>
      </c>
      <c r="H14" s="23">
        <f>ROUND($G14*Settings!$B$3,0)</f>
        <v/>
      </c>
      <c r="I14" s="23">
        <f>ROUND($G14*Settings!$B$4,0)</f>
        <v/>
      </c>
      <c r="J14" s="23">
        <f>ROUND($G14*Settings!$B$5,0)</f>
        <v/>
      </c>
      <c r="L14" s="23" t="n">
        <v>0</v>
      </c>
      <c r="O14" s="23" t="inlineStr">
        <is>
          <t>Unlocks meal prep</t>
        </is>
      </c>
      <c r="P14" s="23" t="inlineStr">
        <is>
          <t>v4: food engine</t>
        </is>
      </c>
      <c r="Q14" s="23" t="inlineStr">
        <is>
          <t>MVP</t>
        </is>
      </c>
      <c r="R14" s="23" t="inlineStr">
        <is>
          <t>Each relax action in your home</t>
        </is>
      </c>
      <c r="S14" s="23" t="inlineStr">
        <is>
          <t>Health +1</t>
        </is>
      </c>
    </row>
    <row r="15" ht="15" customHeight="1" s="24">
      <c r="A15" s="23" t="inlineStr">
        <is>
          <t>I014</t>
        </is>
      </c>
      <c r="B15" s="23" t="inlineStr">
        <is>
          <t>Electronics/Appliances</t>
        </is>
      </c>
      <c r="C15" s="23" t="inlineStr">
        <is>
          <t>Vacuum</t>
        </is>
      </c>
      <c r="D15" s="23" t="inlineStr">
        <is>
          <t>Appliance</t>
        </is>
      </c>
      <c r="E15" s="23" t="inlineStr">
        <is>
          <t>Any housing</t>
        </is>
      </c>
      <c r="F15" s="23" t="inlineStr">
        <is>
          <t>Low Cost OK</t>
        </is>
      </c>
      <c r="G15" s="23" t="n">
        <v>2.5</v>
      </c>
      <c r="H15" s="23">
        <f>ROUND($G15*Settings!$B$3,0)</f>
        <v/>
      </c>
      <c r="I15" s="23">
        <f>ROUND($G15*Settings!$B$4,0)</f>
        <v/>
      </c>
      <c r="J15" s="23">
        <f>ROUND($G15*Settings!$B$5,0)</f>
        <v/>
      </c>
      <c r="L15" s="23" t="n">
        <v>0</v>
      </c>
      <c r="O15" s="23" t="inlineStr">
        <is>
          <t>Clean home health bonus</t>
        </is>
      </c>
      <c r="Q15" s="23" t="inlineStr">
        <is>
          <t>MVP</t>
        </is>
      </c>
      <c r="R15" s="23" t="inlineStr">
        <is>
          <t>ONE-TIME on purchase</t>
        </is>
      </c>
      <c r="S15" s="23" t="inlineStr">
        <is>
          <t>Health +3</t>
        </is>
      </c>
    </row>
    <row r="16" ht="15" customHeight="1" s="24">
      <c r="A16" s="23" t="inlineStr">
        <is>
          <t>I015</t>
        </is>
      </c>
      <c r="B16" s="23" t="inlineStr">
        <is>
          <t>Electronics/Appliances</t>
        </is>
      </c>
      <c r="C16" s="23" t="inlineStr">
        <is>
          <t>Cold Plunge</t>
        </is>
      </c>
      <c r="D16" s="23" t="inlineStr">
        <is>
          <t>Appliance</t>
        </is>
      </c>
      <c r="E16" s="23" t="inlineStr">
        <is>
          <t>Luxury apartment</t>
        </is>
      </c>
      <c r="F16" s="23" t="inlineStr">
        <is>
          <t>Luxury only</t>
        </is>
      </c>
      <c r="G16" s="23" t="n">
        <v>2</v>
      </c>
      <c r="H16" s="23">
        <f>ROUND($G16*Settings!$B$3,0)</f>
        <v/>
      </c>
      <c r="I16" s="23">
        <f>ROUND($G16*Settings!$B$4,0)</f>
        <v/>
      </c>
      <c r="J16" s="23">
        <f>ROUND($G16*Settings!$B$5,0)</f>
        <v/>
      </c>
      <c r="L16" s="23" t="n">
        <v>0</v>
      </c>
      <c r="O16" s="23" t="inlineStr">
        <is>
          <t>Premium health item</t>
        </is>
      </c>
      <c r="P16" s="23" t="inlineStr">
        <is>
          <t>Premium health item</t>
        </is>
      </c>
      <c r="Q16" s="23" t="inlineStr">
        <is>
          <t>MVP</t>
        </is>
      </c>
      <c r="R16" s="23" t="inlineStr">
        <is>
          <t>Each exercise action in your home</t>
        </is>
      </c>
      <c r="S16" s="23" t="inlineStr">
        <is>
          <t>Health +1</t>
        </is>
      </c>
    </row>
    <row r="17" ht="15" customHeight="1" s="24">
      <c r="A17" s="23" t="inlineStr">
        <is>
          <t>I016</t>
        </is>
      </c>
      <c r="B17" s="23" t="inlineStr">
        <is>
          <t>Electronics/Appliances</t>
        </is>
      </c>
      <c r="C17" s="23" t="inlineStr">
        <is>
          <t>Hot Tub</t>
        </is>
      </c>
      <c r="D17" s="23" t="inlineStr">
        <is>
          <t>Appliance</t>
        </is>
      </c>
      <c r="E17" s="23" t="inlineStr">
        <is>
          <t>Luxury apartment</t>
        </is>
      </c>
      <c r="F17" s="23" t="inlineStr">
        <is>
          <t>Luxury only</t>
        </is>
      </c>
      <c r="G17" s="23" t="n">
        <v>8.5</v>
      </c>
      <c r="H17" s="23">
        <f>ROUND($G17*Settings!$B$3,0)</f>
        <v/>
      </c>
      <c r="I17" s="23">
        <f>ROUND($G17*Settings!$B$4,0)</f>
        <v/>
      </c>
      <c r="J17" s="23">
        <f>ROUND($G17*Settings!$B$5,0)</f>
        <v/>
      </c>
      <c r="L17" s="23" t="n">
        <v>0</v>
      </c>
      <c r="O17" s="23" t="inlineStr">
        <is>
          <t>Premium happiness + hosting flavor</t>
        </is>
      </c>
      <c r="P17" s="23" t="inlineStr">
        <is>
          <t>Premium happiness + hosting</t>
        </is>
      </c>
      <c r="Q17" s="23" t="inlineStr">
        <is>
          <t>MVP</t>
        </is>
      </c>
      <c r="R17" s="23" t="inlineStr">
        <is>
          <t>Each relax action in your home</t>
        </is>
      </c>
      <c r="S17" s="23" t="inlineStr">
        <is>
          <t>Happiness +1</t>
        </is>
      </c>
    </row>
    <row r="18" ht="15" customHeight="1" s="24">
      <c r="A18" s="23" t="inlineStr">
        <is>
          <t>I017</t>
        </is>
      </c>
      <c r="B18" s="23" t="inlineStr">
        <is>
          <t>Furniture</t>
        </is>
      </c>
      <c r="C18" s="23" t="inlineStr">
        <is>
          <t>Lumpy Bed</t>
        </is>
      </c>
      <c r="D18" s="23" t="inlineStr">
        <is>
          <t>Bed</t>
        </is>
      </c>
      <c r="E18" s="23" t="inlineStr">
        <is>
          <t>Any housing</t>
        </is>
      </c>
      <c r="F18" s="23" t="inlineStr">
        <is>
          <t>Low Cost OK</t>
        </is>
      </c>
      <c r="G18" s="23" t="n">
        <v>0.5</v>
      </c>
      <c r="H18" s="23">
        <f>ROUND($G18*Settings!$B$3,0)</f>
        <v/>
      </c>
      <c r="I18" s="23">
        <f>ROUND($G18*Settings!$B$4,0)</f>
        <v/>
      </c>
      <c r="J18" s="23">
        <f>ROUND($G18*Settings!$B$5,0)</f>
        <v/>
      </c>
      <c r="L18" s="23" t="n">
        <v>0</v>
      </c>
      <c r="O18" s="23" t="inlineStr">
        <is>
          <t>Small sleep bonus</t>
        </is>
      </c>
      <c r="P18" s="23" t="inlineStr">
        <is>
          <t>Cheap starter bed</t>
        </is>
      </c>
      <c r="Q18" s="23" t="inlineStr">
        <is>
          <t>MVP</t>
        </is>
      </c>
      <c r="R18" s="23" t="inlineStr">
        <is>
          <t>Each sleep action in your home</t>
        </is>
      </c>
      <c r="S18" s="23" t="inlineStr">
        <is>
          <t>Health +1</t>
        </is>
      </c>
    </row>
    <row r="19" ht="15" customHeight="1" s="24">
      <c r="A19" s="23" t="inlineStr">
        <is>
          <t>I018</t>
        </is>
      </c>
      <c r="B19" s="23" t="inlineStr">
        <is>
          <t>Furniture</t>
        </is>
      </c>
      <c r="C19" s="23" t="inlineStr">
        <is>
          <t>Nice Bed</t>
        </is>
      </c>
      <c r="D19" s="23" t="inlineStr">
        <is>
          <t>Bed</t>
        </is>
      </c>
      <c r="E19" s="23" t="inlineStr">
        <is>
          <t>Any housing</t>
        </is>
      </c>
      <c r="F19" s="23" t="inlineStr">
        <is>
          <t>Low Cost OK</t>
        </is>
      </c>
      <c r="G19" s="23" t="n">
        <v>5</v>
      </c>
      <c r="H19" s="23">
        <f>ROUND($G19*Settings!$B$3,0)</f>
        <v/>
      </c>
      <c r="I19" s="23">
        <f>ROUND($G19*Settings!$B$4,0)</f>
        <v/>
      </c>
      <c r="J19" s="23">
        <f>ROUND($G19*Settings!$B$5,0)</f>
        <v/>
      </c>
      <c r="L19" s="23" t="n">
        <v>0</v>
      </c>
      <c r="O19" s="23" t="inlineStr">
        <is>
          <t>Medium sleep bonus</t>
        </is>
      </c>
      <c r="P19" s="23" t="inlineStr">
        <is>
          <t>v4: mid-game sleep upgrade</t>
        </is>
      </c>
      <c r="Q19" s="23" t="inlineStr">
        <is>
          <t>MVP</t>
        </is>
      </c>
      <c r="R19" s="23" t="inlineStr">
        <is>
          <t>Each sleep action in your home</t>
        </is>
      </c>
      <c r="S19" s="23" t="inlineStr">
        <is>
          <t>Health +2</t>
        </is>
      </c>
    </row>
    <row r="20" ht="15" customHeight="1" s="24">
      <c r="A20" s="23" t="inlineStr">
        <is>
          <t>I019</t>
        </is>
      </c>
      <c r="B20" s="23" t="inlineStr">
        <is>
          <t>Furniture</t>
        </is>
      </c>
      <c r="C20" s="23" t="inlineStr">
        <is>
          <t>Premium Bed</t>
        </is>
      </c>
      <c r="D20" s="23" t="inlineStr">
        <is>
          <t>Bed</t>
        </is>
      </c>
      <c r="E20" s="23" t="inlineStr">
        <is>
          <t>Luxury apartment</t>
        </is>
      </c>
      <c r="F20" s="23" t="inlineStr">
        <is>
          <t>Luxury only</t>
        </is>
      </c>
      <c r="G20" s="23" t="n">
        <v>9</v>
      </c>
      <c r="H20" s="23">
        <f>ROUND($G20*Settings!$B$3,0)</f>
        <v/>
      </c>
      <c r="I20" s="23">
        <f>ROUND($G20*Settings!$B$4,0)</f>
        <v/>
      </c>
      <c r="J20" s="23">
        <f>ROUND($G20*Settings!$B$5,0)</f>
        <v/>
      </c>
      <c r="L20" s="23" t="n">
        <v>0</v>
      </c>
      <c r="O20" s="23" t="inlineStr">
        <is>
          <t>Large sleep bonus</t>
        </is>
      </c>
      <c r="P20" s="23" t="inlineStr">
        <is>
          <t>v4: hard-gated (was only 'recommended')</t>
        </is>
      </c>
      <c r="Q20" s="23" t="inlineStr">
        <is>
          <t>MVP</t>
        </is>
      </c>
      <c r="R20" s="23" t="inlineStr">
        <is>
          <t>Each sleep action in your home</t>
        </is>
      </c>
      <c r="S20" s="23" t="inlineStr">
        <is>
          <t>Health +3</t>
        </is>
      </c>
    </row>
    <row r="21" ht="15" customHeight="1" s="24">
      <c r="A21" s="23" t="inlineStr">
        <is>
          <t>I020</t>
        </is>
      </c>
      <c r="B21" s="23" t="inlineStr">
        <is>
          <t>Furniture</t>
        </is>
      </c>
      <c r="C21" s="23" t="inlineStr">
        <is>
          <t>Couch</t>
        </is>
      </c>
      <c r="D21" s="23" t="inlineStr">
        <is>
          <t>Furniture</t>
        </is>
      </c>
      <c r="E21" s="23" t="inlineStr">
        <is>
          <t>Luxury apartment</t>
        </is>
      </c>
      <c r="F21" s="23" t="inlineStr">
        <is>
          <t>Luxury only</t>
        </is>
      </c>
      <c r="G21" s="23" t="n">
        <v>6.5</v>
      </c>
      <c r="H21" s="23">
        <f>ROUND($G21*Settings!$B$3,0)</f>
        <v/>
      </c>
      <c r="I21" s="23">
        <f>ROUND($G21*Settings!$B$4,0)</f>
        <v/>
      </c>
      <c r="J21" s="23">
        <f>ROUND($G21*Settings!$B$5,0)</f>
        <v/>
      </c>
      <c r="K21" s="23" t="inlineStr">
        <is>
          <t>Happiness</t>
        </is>
      </c>
      <c r="L21" s="23" t="n">
        <v>0.04</v>
      </c>
      <c r="O21" s="23" t="inlineStr">
        <is>
          <t>Relaxing at home bonus</t>
        </is>
      </c>
      <c r="P21" s="23" t="inlineStr">
        <is>
          <t>v4: hard-gated. No space in a bunk room</t>
        </is>
      </c>
      <c r="Q21" s="23" t="inlineStr">
        <is>
          <t>MVP</t>
        </is>
      </c>
    </row>
    <row r="22" ht="15" customHeight="1" s="24">
      <c r="A22" s="23" t="inlineStr">
        <is>
          <t>I021</t>
        </is>
      </c>
      <c r="B22" s="23" t="inlineStr">
        <is>
          <t>Furniture</t>
        </is>
      </c>
      <c r="C22" s="23" t="inlineStr">
        <is>
          <t>Bookshelf</t>
        </is>
      </c>
      <c r="D22" s="23" t="inlineStr">
        <is>
          <t>Furniture</t>
        </is>
      </c>
      <c r="E22" s="23" t="inlineStr">
        <is>
          <t>Any housing</t>
        </is>
      </c>
      <c r="F22" s="23" t="inlineStr">
        <is>
          <t>Low Cost OK</t>
        </is>
      </c>
      <c r="G22" s="23" t="n">
        <v>0.8</v>
      </c>
      <c r="H22" s="23">
        <f>ROUND($G22*Settings!$B$3,0)</f>
        <v/>
      </c>
      <c r="I22" s="23">
        <f>ROUND($G22*Settings!$B$4,0)</f>
        <v/>
      </c>
      <c r="J22" s="23">
        <f>ROUND($G22*Settings!$B$5,0)</f>
        <v/>
      </c>
      <c r="L22" s="23" t="n">
        <v>0</v>
      </c>
      <c r="O22" s="23" t="inlineStr">
        <is>
          <t>Study/home critical thinking bonus</t>
        </is>
      </c>
      <c r="Q22" s="23" t="inlineStr">
        <is>
          <t>MVP</t>
        </is>
      </c>
      <c r="R22" s="23" t="inlineStr">
        <is>
          <t>Each relax action in your home</t>
        </is>
      </c>
      <c r="S22" s="23" t="inlineStr">
        <is>
          <t>Critical Thinking +1</t>
        </is>
      </c>
    </row>
    <row r="23" ht="15" customHeight="1" s="24">
      <c r="A23" s="23" t="inlineStr">
        <is>
          <t>I022</t>
        </is>
      </c>
      <c r="B23" s="23" t="inlineStr">
        <is>
          <t>Furniture</t>
        </is>
      </c>
      <c r="C23" s="23" t="inlineStr">
        <is>
          <t>Plants</t>
        </is>
      </c>
      <c r="D23" s="23" t="inlineStr">
        <is>
          <t>Furniture</t>
        </is>
      </c>
      <c r="E23" s="23" t="inlineStr">
        <is>
          <t>Any housing</t>
        </is>
      </c>
      <c r="F23" s="23" t="inlineStr">
        <is>
          <t>Low Cost OK</t>
        </is>
      </c>
      <c r="G23" s="23" t="n">
        <v>0.2</v>
      </c>
      <c r="H23" s="23">
        <f>ROUND($G23*Settings!$B$3,0)</f>
        <v/>
      </c>
      <c r="I23" s="23">
        <f>ROUND($G23*Settings!$B$4,0)</f>
        <v/>
      </c>
      <c r="J23" s="23">
        <f>ROUND($G23*Settings!$B$5,0)</f>
        <v/>
      </c>
      <c r="L23" s="23" t="n">
        <v>0</v>
      </c>
      <c r="O23" s="23" t="inlineStr">
        <is>
          <t>Home wellness bonus</t>
        </is>
      </c>
      <c r="Q23" s="23" t="inlineStr">
        <is>
          <t>MVP</t>
        </is>
      </c>
      <c r="R23" s="23" t="inlineStr">
        <is>
          <t>Each relax action in your home</t>
        </is>
      </c>
      <c r="S23" s="23" t="inlineStr">
        <is>
          <t>Enlightenment +1</t>
        </is>
      </c>
    </row>
    <row r="24" ht="15" customHeight="1" s="24">
      <c r="A24" s="23" t="inlineStr">
        <is>
          <t>I023</t>
        </is>
      </c>
      <c r="B24" s="23" t="inlineStr">
        <is>
          <t>Furniture</t>
        </is>
      </c>
      <c r="C24" s="23" t="inlineStr">
        <is>
          <t>Desk</t>
        </is>
      </c>
      <c r="D24" s="23" t="inlineStr">
        <is>
          <t>Work Setup</t>
        </is>
      </c>
      <c r="E24" s="23" t="inlineStr">
        <is>
          <t>Any housing</t>
        </is>
      </c>
      <c r="F24" s="23" t="inlineStr">
        <is>
          <t>Low Cost OK</t>
        </is>
      </c>
      <c r="G24" s="23" t="n">
        <v>3.5</v>
      </c>
      <c r="H24" s="23">
        <f>ROUND($G24*Settings!$B$3,0)</f>
        <v/>
      </c>
      <c r="I24" s="23">
        <f>ROUND($G24*Settings!$B$4,0)</f>
        <v/>
      </c>
      <c r="J24" s="23">
        <f>ROUND($G24*Settings!$B$5,0)</f>
        <v/>
      </c>
      <c r="L24" s="23" t="n">
        <v>0</v>
      </c>
      <c r="O24" s="23" t="inlineStr">
        <is>
          <t>Required for better work-from-home efficiency</t>
        </is>
      </c>
      <c r="P24" s="23" t="inlineStr">
        <is>
          <t>Needed for work-from-home</t>
        </is>
      </c>
      <c r="Q24" s="23" t="inlineStr">
        <is>
          <t>MVP</t>
        </is>
      </c>
      <c r="R24" s="23" t="inlineStr">
        <is>
          <t>Each work-from-home action</t>
        </is>
      </c>
      <c r="S24" s="23" t="inlineStr">
        <is>
          <t>Critical Thinking +1</t>
        </is>
      </c>
    </row>
    <row r="25" ht="15" customHeight="1" s="24">
      <c r="A25" s="23" t="inlineStr">
        <is>
          <t>I024</t>
        </is>
      </c>
      <c r="B25" s="23" t="inlineStr">
        <is>
          <t>Furniture</t>
        </is>
      </c>
      <c r="C25" s="23" t="inlineStr">
        <is>
          <t>Ergonomic Chair</t>
        </is>
      </c>
      <c r="D25" s="23" t="inlineStr">
        <is>
          <t>Work Setup</t>
        </is>
      </c>
      <c r="E25" s="23" t="inlineStr">
        <is>
          <t>Luxury apartment</t>
        </is>
      </c>
      <c r="F25" s="23" t="inlineStr">
        <is>
          <t>Luxury only</t>
        </is>
      </c>
      <c r="G25" s="23" t="n">
        <v>6</v>
      </c>
      <c r="H25" s="23">
        <f>ROUND($G25*Settings!$B$3,0)</f>
        <v/>
      </c>
      <c r="I25" s="23">
        <f>ROUND($G25*Settings!$B$4,0)</f>
        <v/>
      </c>
      <c r="J25" s="23">
        <f>ROUND($G25*Settings!$B$5,0)</f>
        <v/>
      </c>
      <c r="L25" s="23" t="n">
        <v>0</v>
      </c>
      <c r="O25" s="23" t="inlineStr">
        <is>
          <t>Health + work comfort</t>
        </is>
      </c>
      <c r="P25" s="23" t="inlineStr">
        <is>
          <t>v4: hard-gated</t>
        </is>
      </c>
      <c r="Q25" s="23" t="inlineStr">
        <is>
          <t>MVP</t>
        </is>
      </c>
      <c r="R25" s="23" t="inlineStr">
        <is>
          <t>Each work-from-home action</t>
        </is>
      </c>
      <c r="S25" s="23" t="inlineStr">
        <is>
          <t>Health +1</t>
        </is>
      </c>
    </row>
    <row r="26" ht="15" customHeight="1" s="24">
      <c r="A26" s="23" t="inlineStr">
        <is>
          <t>I025</t>
        </is>
      </c>
      <c r="B26" s="23" t="inlineStr">
        <is>
          <t>Furniture</t>
        </is>
      </c>
      <c r="C26" s="23" t="inlineStr">
        <is>
          <t>Pet Bed</t>
        </is>
      </c>
      <c r="D26" s="23" t="inlineStr">
        <is>
          <t>Pet Item</t>
        </is>
      </c>
      <c r="E26" s="23" t="inlineStr">
        <is>
          <t>Own pet</t>
        </is>
      </c>
      <c r="F26" s="23" t="inlineStr">
        <is>
          <t>Low Cost OK</t>
        </is>
      </c>
      <c r="G26" s="23" t="n">
        <v>1.5</v>
      </c>
      <c r="H26" s="23">
        <f>ROUND($G26*Settings!$B$3,0)</f>
        <v/>
      </c>
      <c r="I26" s="23">
        <f>ROUND($G26*Settings!$B$4,0)</f>
        <v/>
      </c>
      <c r="J26" s="23">
        <f>ROUND($G26*Settings!$B$5,0)</f>
        <v/>
      </c>
      <c r="L26" s="23" t="n">
        <v>0</v>
      </c>
      <c r="O26" s="23" t="inlineStr">
        <is>
          <t>Pet health support</t>
        </is>
      </c>
      <c r="Q26" s="23" t="inlineStr">
        <is>
          <t>MVP</t>
        </is>
      </c>
      <c r="R26" s="23" t="inlineStr">
        <is>
          <t>Each play-with-pet action in your home</t>
        </is>
      </c>
      <c r="S26" s="23" t="inlineStr">
        <is>
          <t>Pet Health +1</t>
        </is>
      </c>
    </row>
    <row r="27" ht="15" customHeight="1" s="24">
      <c r="A27" s="23" t="inlineStr">
        <is>
          <t>I026</t>
        </is>
      </c>
      <c r="B27" s="23" t="inlineStr">
        <is>
          <t>Furniture</t>
        </is>
      </c>
      <c r="C27" s="23" t="inlineStr">
        <is>
          <t>Pet Toys</t>
        </is>
      </c>
      <c r="D27" s="23" t="inlineStr">
        <is>
          <t>Pet Item</t>
        </is>
      </c>
      <c r="E27" s="23" t="inlineStr">
        <is>
          <t>Own pet</t>
        </is>
      </c>
      <c r="F27" s="23" t="inlineStr">
        <is>
          <t>Low Cost OK</t>
        </is>
      </c>
      <c r="G27" s="23" t="n">
        <v>0.35</v>
      </c>
      <c r="H27" s="23">
        <f>ROUND($G27*Settings!$B$3,0)</f>
        <v/>
      </c>
      <c r="I27" s="23">
        <f>ROUND($G27*Settings!$B$4,0)</f>
        <v/>
      </c>
      <c r="J27" s="23">
        <f>ROUND($G27*Settings!$B$5,0)</f>
        <v/>
      </c>
      <c r="L27" s="23" t="n">
        <v>0</v>
      </c>
      <c r="O27" s="23" t="inlineStr">
        <is>
          <t>Pet happiness support</t>
        </is>
      </c>
      <c r="Q27" s="23" t="inlineStr">
        <is>
          <t>MVP</t>
        </is>
      </c>
      <c r="R27" s="23" t="inlineStr">
        <is>
          <t>Each play-with-pet action in your home</t>
        </is>
      </c>
      <c r="S27" s="23" t="inlineStr">
        <is>
          <t>Pet Happiness +1</t>
        </is>
      </c>
    </row>
    <row r="28" ht="15" customHeight="1" s="24">
      <c r="A28" s="23" t="inlineStr">
        <is>
          <t>I027</t>
        </is>
      </c>
      <c r="B28" s="23" t="inlineStr">
        <is>
          <t>Furniture</t>
        </is>
      </c>
      <c r="C28" s="23" t="inlineStr">
        <is>
          <t>Dining Table</t>
        </is>
      </c>
      <c r="D28" s="23" t="inlineStr">
        <is>
          <t>Furniture</t>
        </is>
      </c>
      <c r="E28" s="23" t="inlineStr">
        <is>
          <t>Luxury apartment</t>
        </is>
      </c>
      <c r="F28" s="23" t="inlineStr">
        <is>
          <t>Luxury only</t>
        </is>
      </c>
      <c r="G28" s="23" t="n">
        <v>4.5</v>
      </c>
      <c r="H28" s="23">
        <f>ROUND($G28*Settings!$B$3,0)</f>
        <v/>
      </c>
      <c r="I28" s="23">
        <f>ROUND($G28*Settings!$B$4,0)</f>
        <v/>
      </c>
      <c r="J28" s="23">
        <f>ROUND($G28*Settings!$B$5,0)</f>
        <v/>
      </c>
      <c r="L28" s="23" t="n">
        <v>0</v>
      </c>
      <c r="O28" s="23" t="inlineStr">
        <is>
          <t>Hosting friends support</t>
        </is>
      </c>
      <c r="P28" s="23" t="inlineStr">
        <is>
          <t>v4: hard-gated. Hosting requires a dining room</t>
        </is>
      </c>
      <c r="Q28" s="23" t="inlineStr">
        <is>
          <t>MVP</t>
        </is>
      </c>
      <c r="R28" s="23" t="inlineStr">
        <is>
          <t>Each relax action in your home</t>
        </is>
      </c>
      <c r="S28" s="23" t="inlineStr">
        <is>
          <t>Health +1</t>
        </is>
      </c>
    </row>
    <row r="29" ht="15" customHeight="1" s="24">
      <c r="A29" s="23" t="inlineStr">
        <is>
          <t>I028</t>
        </is>
      </c>
      <c r="B29" s="23" t="inlineStr">
        <is>
          <t>Furniture</t>
        </is>
      </c>
      <c r="C29" s="23" t="inlineStr">
        <is>
          <t>Mirror</t>
        </is>
      </c>
      <c r="D29" s="23" t="inlineStr">
        <is>
          <t>Furniture</t>
        </is>
      </c>
      <c r="E29" s="23" t="inlineStr">
        <is>
          <t>Any housing</t>
        </is>
      </c>
      <c r="F29" s="23" t="inlineStr">
        <is>
          <t>Low Cost OK</t>
        </is>
      </c>
      <c r="G29" s="23" t="n">
        <v>0.9</v>
      </c>
      <c r="H29" s="23">
        <f>ROUND($G29*Settings!$B$3,0)</f>
        <v/>
      </c>
      <c r="I29" s="23">
        <f>ROUND($G29*Settings!$B$4,0)</f>
        <v/>
      </c>
      <c r="J29" s="23">
        <f>ROUND($G29*Settings!$B$5,0)</f>
        <v/>
      </c>
      <c r="L29" s="23" t="n">
        <v>0</v>
      </c>
      <c r="O29" s="23" t="inlineStr">
        <is>
          <t>Flex/check outfit</t>
        </is>
      </c>
      <c r="Q29" s="23" t="inlineStr">
        <is>
          <t>MVP</t>
        </is>
      </c>
      <c r="R29" s="23" t="inlineStr">
        <is>
          <t>Each relax action in your home</t>
        </is>
      </c>
      <c r="S29" s="23" t="inlineStr">
        <is>
          <t>Coolness Factor +1</t>
        </is>
      </c>
    </row>
    <row r="30" ht="15" customHeight="1" s="24">
      <c r="A30" s="23" t="inlineStr">
        <is>
          <t>I029</t>
        </is>
      </c>
      <c r="B30" s="23" t="inlineStr">
        <is>
          <t>Clothing</t>
        </is>
      </c>
      <c r="C30" s="23" t="inlineStr">
        <is>
          <t>Casual Clothes</t>
        </is>
      </c>
      <c r="D30" s="23" t="inlineStr">
        <is>
          <t>Outfit</t>
        </is>
      </c>
      <c r="E30" s="23" t="inlineStr">
        <is>
          <t>None</t>
        </is>
      </c>
      <c r="F30" s="23" t="inlineStr">
        <is>
          <t>Any</t>
        </is>
      </c>
      <c r="G30" s="23" t="n">
        <v>0.5</v>
      </c>
      <c r="H30" s="23">
        <f>ROUND($G30*Settings!$B$3,0)</f>
        <v/>
      </c>
      <c r="I30" s="23">
        <f>ROUND($G30*Settings!$B$4,0)</f>
        <v/>
      </c>
      <c r="J30" s="23">
        <f>ROUND($G30*Settings!$B$5,0)</f>
        <v/>
      </c>
      <c r="L30" s="23" t="n">
        <v>0</v>
      </c>
      <c r="O30" s="23" t="inlineStr">
        <is>
          <t>Required for low-tier jobs</t>
        </is>
      </c>
      <c r="P30" s="23" t="inlineStr">
        <is>
          <t>UNCHANGED ON PURPOSE: must stay affordable after the 30%B homeless cheque alongside 20%B low rent</t>
        </is>
      </c>
      <c r="Q30" s="23" t="inlineStr">
        <is>
          <t>MVP</t>
        </is>
      </c>
    </row>
    <row r="31" ht="15" customHeight="1" s="24">
      <c r="A31" s="23" t="inlineStr">
        <is>
          <t>I030</t>
        </is>
      </c>
      <c r="B31" s="23" t="inlineStr">
        <is>
          <t>Clothing</t>
        </is>
      </c>
      <c r="C31" s="23" t="inlineStr">
        <is>
          <t>Smart Clothes</t>
        </is>
      </c>
      <c r="D31" s="23" t="inlineStr">
        <is>
          <t>Outfit</t>
        </is>
      </c>
      <c r="E31" s="23" t="inlineStr">
        <is>
          <t>Casual clothes</t>
        </is>
      </c>
      <c r="F31" s="23" t="inlineStr">
        <is>
          <t>Any</t>
        </is>
      </c>
      <c r="G31" s="23" t="n">
        <v>4</v>
      </c>
      <c r="H31" s="23">
        <f>ROUND($G31*Settings!$B$3,0)</f>
        <v/>
      </c>
      <c r="I31" s="23">
        <f>ROUND($G31*Settings!$B$4,0)</f>
        <v/>
      </c>
      <c r="J31" s="23">
        <f>ROUND($G31*Settings!$B$5,0)</f>
        <v/>
      </c>
      <c r="K31" s="23" t="inlineStr">
        <is>
          <t>Career</t>
        </is>
      </c>
      <c r="L31" s="23" t="n">
        <v>0.03</v>
      </c>
      <c r="O31" s="23" t="inlineStr">
        <is>
          <t>Required for mid-tier jobs</t>
        </is>
      </c>
      <c r="P31" s="23" t="inlineStr">
        <is>
          <t>v4: mid-tier job gate</t>
        </is>
      </c>
      <c r="Q31" s="23" t="inlineStr">
        <is>
          <t>MVP</t>
        </is>
      </c>
    </row>
    <row r="32" ht="15" customHeight="1" s="24">
      <c r="A32" s="23" t="inlineStr">
        <is>
          <t>I031</t>
        </is>
      </c>
      <c r="B32" s="23" t="inlineStr">
        <is>
          <t>Clothing</t>
        </is>
      </c>
      <c r="C32" s="23" t="inlineStr">
        <is>
          <t>Business Clothes</t>
        </is>
      </c>
      <c r="D32" s="23" t="inlineStr">
        <is>
          <t>Outfit</t>
        </is>
      </c>
      <c r="E32" s="23" t="inlineStr">
        <is>
          <t>Smart clothes</t>
        </is>
      </c>
      <c r="F32" s="23" t="inlineStr">
        <is>
          <t>Any</t>
        </is>
      </c>
      <c r="G32" s="23" t="n">
        <v>5</v>
      </c>
      <c r="H32" s="23">
        <f>ROUND($G32*Settings!$B$3,0)</f>
        <v/>
      </c>
      <c r="I32" s="23">
        <f>ROUND($G32*Settings!$B$4,0)</f>
        <v/>
      </c>
      <c r="J32" s="23">
        <f>ROUND($G32*Settings!$B$5,0)</f>
        <v/>
      </c>
      <c r="K32" s="23" t="inlineStr">
        <is>
          <t>Career</t>
        </is>
      </c>
      <c r="L32" s="23" t="n">
        <v>0.05</v>
      </c>
      <c r="O32" s="23" t="inlineStr">
        <is>
          <t>Required for high/elite jobs</t>
        </is>
      </c>
      <c r="P32" s="23" t="inlineStr">
        <is>
          <t>v4: high/elite job gate, now a real investment</t>
        </is>
      </c>
      <c r="Q32" s="23" t="inlineStr">
        <is>
          <t>MVP</t>
        </is>
      </c>
    </row>
    <row r="33" ht="15" customHeight="1" s="24">
      <c r="A33" s="23" t="inlineStr">
        <is>
          <t>I032</t>
        </is>
      </c>
      <c r="B33" s="23" t="inlineStr">
        <is>
          <t>Clothing</t>
        </is>
      </c>
      <c r="C33" s="23" t="inlineStr">
        <is>
          <t>Dressy Clothes</t>
        </is>
      </c>
      <c r="D33" s="23" t="inlineStr">
        <is>
          <t>Outfit</t>
        </is>
      </c>
      <c r="E33" s="23" t="inlineStr">
        <is>
          <t>None</t>
        </is>
      </c>
      <c r="F33" s="23" t="inlineStr">
        <is>
          <t>Any</t>
        </is>
      </c>
      <c r="G33" s="23" t="n">
        <v>3</v>
      </c>
      <c r="H33" s="23">
        <f>ROUND($G33*Settings!$B$3,0)</f>
        <v/>
      </c>
      <c r="I33" s="23">
        <f>ROUND($G33*Settings!$B$4,0)</f>
        <v/>
      </c>
      <c r="J33" s="23">
        <f>ROUND($G33*Settings!$B$5,0)</f>
        <v/>
      </c>
      <c r="K33" s="23" t="inlineStr">
        <is>
          <t>Coolness Factor</t>
        </is>
      </c>
      <c r="L33" s="23" t="n">
        <v>0.04</v>
      </c>
      <c r="O33" s="23" t="inlineStr">
        <is>
          <t>Required for club/VIP actions</t>
        </is>
      </c>
      <c r="P33" s="23" t="inlineStr">
        <is>
          <t>v4: club/VIP gate</t>
        </is>
      </c>
      <c r="Q33" s="23" t="inlineStr">
        <is>
          <t>MVP</t>
        </is>
      </c>
    </row>
    <row r="34" ht="15" customHeight="1" s="24">
      <c r="A34" s="23" t="inlineStr">
        <is>
          <t>I033</t>
        </is>
      </c>
      <c r="B34" s="23" t="inlineStr">
        <is>
          <t>Clothing</t>
        </is>
      </c>
      <c r="C34" s="23" t="inlineStr">
        <is>
          <t>Sunglasses</t>
        </is>
      </c>
      <c r="D34" s="23" t="inlineStr">
        <is>
          <t>Accessory</t>
        </is>
      </c>
      <c r="E34" s="23" t="inlineStr">
        <is>
          <t>None</t>
        </is>
      </c>
      <c r="F34" s="23" t="inlineStr">
        <is>
          <t>Any</t>
        </is>
      </c>
      <c r="G34" s="23" t="n">
        <v>1</v>
      </c>
      <c r="H34" s="23">
        <f>ROUND($G34*Settings!$B$3,0)</f>
        <v/>
      </c>
      <c r="I34" s="23">
        <f>ROUND($G34*Settings!$B$4,0)</f>
        <v/>
      </c>
      <c r="J34" s="23">
        <f>ROUND($G34*Settings!$B$5,0)</f>
        <v/>
      </c>
      <c r="K34" s="23" t="inlineStr">
        <is>
          <t>Coolness Factor</t>
        </is>
      </c>
      <c r="L34" s="23" t="n">
        <v>0.05</v>
      </c>
      <c r="O34" s="23" t="inlineStr">
        <is>
          <t>Coolness accessory</t>
        </is>
      </c>
      <c r="Q34" s="23" t="inlineStr">
        <is>
          <t>MVP</t>
        </is>
      </c>
    </row>
    <row r="35" ht="15" customHeight="1" s="24">
      <c r="A35" s="23" t="inlineStr">
        <is>
          <t>I034</t>
        </is>
      </c>
      <c r="B35" s="23" t="inlineStr">
        <is>
          <t>Clothing</t>
        </is>
      </c>
      <c r="C35" s="23" t="inlineStr">
        <is>
          <t>Earrings</t>
        </is>
      </c>
      <c r="D35" s="23" t="inlineStr">
        <is>
          <t>Accessory</t>
        </is>
      </c>
      <c r="E35" s="23" t="inlineStr">
        <is>
          <t>None</t>
        </is>
      </c>
      <c r="F35" s="23" t="inlineStr">
        <is>
          <t>Any</t>
        </is>
      </c>
      <c r="G35" s="23" t="n">
        <v>0.14</v>
      </c>
      <c r="H35" s="23">
        <f>ROUND($G35*Settings!$B$3,0)</f>
        <v/>
      </c>
      <c r="I35" s="23">
        <f>ROUND($G35*Settings!$B$4,0)</f>
        <v/>
      </c>
      <c r="J35" s="23">
        <f>ROUND($G35*Settings!$B$5,0)</f>
        <v/>
      </c>
      <c r="K35" s="23" t="inlineStr">
        <is>
          <t>Coolness Factor</t>
        </is>
      </c>
      <c r="L35" s="23" t="n">
        <v>0.03</v>
      </c>
      <c r="O35" s="23" t="inlineStr">
        <is>
          <t>Coolness accessory</t>
        </is>
      </c>
      <c r="Q35" s="23" t="inlineStr">
        <is>
          <t>MVP</t>
        </is>
      </c>
    </row>
    <row r="36" ht="15" customHeight="1" s="24">
      <c r="A36" s="23" t="inlineStr">
        <is>
          <t>I035</t>
        </is>
      </c>
      <c r="B36" s="23" t="inlineStr">
        <is>
          <t>Clothing</t>
        </is>
      </c>
      <c r="C36" s="23" t="inlineStr">
        <is>
          <t>Bracelet</t>
        </is>
      </c>
      <c r="D36" s="23" t="inlineStr">
        <is>
          <t>Accessory</t>
        </is>
      </c>
      <c r="E36" s="23" t="inlineStr">
        <is>
          <t>None</t>
        </is>
      </c>
      <c r="F36" s="23" t="inlineStr">
        <is>
          <t>Any</t>
        </is>
      </c>
      <c r="G36" s="23" t="n">
        <v>0.14</v>
      </c>
      <c r="H36" s="23">
        <f>ROUND($G36*Settings!$B$3,0)</f>
        <v/>
      </c>
      <c r="I36" s="23">
        <f>ROUND($G36*Settings!$B$4,0)</f>
        <v/>
      </c>
      <c r="J36" s="23">
        <f>ROUND($G36*Settings!$B$5,0)</f>
        <v/>
      </c>
      <c r="K36" s="23" t="inlineStr">
        <is>
          <t>Coolness Factor</t>
        </is>
      </c>
      <c r="L36" s="23" t="n">
        <v>0.03</v>
      </c>
      <c r="O36" s="23" t="inlineStr">
        <is>
          <t>Coolness accessory</t>
        </is>
      </c>
      <c r="Q36" s="23" t="inlineStr">
        <is>
          <t>MVP</t>
        </is>
      </c>
    </row>
    <row r="37" ht="15" customHeight="1" s="24">
      <c r="A37" s="23" t="inlineStr">
        <is>
          <t>I036</t>
        </is>
      </c>
      <c r="B37" s="23" t="inlineStr">
        <is>
          <t>Clothing</t>
        </is>
      </c>
      <c r="C37" s="23" t="inlineStr">
        <is>
          <t>Rings</t>
        </is>
      </c>
      <c r="D37" s="23" t="inlineStr">
        <is>
          <t>Accessory</t>
        </is>
      </c>
      <c r="E37" s="23" t="inlineStr">
        <is>
          <t>None</t>
        </is>
      </c>
      <c r="F37" s="23" t="inlineStr">
        <is>
          <t>Any</t>
        </is>
      </c>
      <c r="G37" s="23" t="n">
        <v>0.2</v>
      </c>
      <c r="H37" s="23">
        <f>ROUND($G37*Settings!$B$3,0)</f>
        <v/>
      </c>
      <c r="I37" s="23">
        <f>ROUND($G37*Settings!$B$4,0)</f>
        <v/>
      </c>
      <c r="J37" s="23">
        <f>ROUND($G37*Settings!$B$5,0)</f>
        <v/>
      </c>
      <c r="K37" s="23" t="inlineStr">
        <is>
          <t>Coolness Factor</t>
        </is>
      </c>
      <c r="L37" s="23" t="n">
        <v>0.04</v>
      </c>
      <c r="O37" s="23" t="inlineStr">
        <is>
          <t>Coolness accessory</t>
        </is>
      </c>
      <c r="Q37" s="23" t="inlineStr">
        <is>
          <t>MVP</t>
        </is>
      </c>
    </row>
    <row r="38" ht="15" customHeight="1" s="24">
      <c r="A38" s="23" t="inlineStr">
        <is>
          <t>I037</t>
        </is>
      </c>
      <c r="B38" s="23" t="inlineStr">
        <is>
          <t>Clothing</t>
        </is>
      </c>
      <c r="C38" s="23" t="inlineStr">
        <is>
          <t>Dress Shoes</t>
        </is>
      </c>
      <c r="D38" s="23" t="inlineStr">
        <is>
          <t>Footwear</t>
        </is>
      </c>
      <c r="E38" s="23" t="inlineStr">
        <is>
          <t>None</t>
        </is>
      </c>
      <c r="F38" s="23" t="inlineStr">
        <is>
          <t>Any</t>
        </is>
      </c>
      <c r="G38" s="23" t="n">
        <v>2</v>
      </c>
      <c r="H38" s="23">
        <f>ROUND($G38*Settings!$B$3,0)</f>
        <v/>
      </c>
      <c r="I38" s="23">
        <f>ROUND($G38*Settings!$B$4,0)</f>
        <v/>
      </c>
      <c r="J38" s="23">
        <f>ROUND($G38*Settings!$B$5,0)</f>
        <v/>
      </c>
      <c r="K38" s="23" t="inlineStr">
        <is>
          <t>Coolness Factor</t>
        </is>
      </c>
      <c r="L38" s="23" t="n">
        <v>0.04</v>
      </c>
      <c r="O38" s="23" t="inlineStr">
        <is>
          <t>Coolness footwear</t>
        </is>
      </c>
      <c r="Q38" s="23" t="inlineStr">
        <is>
          <t>MVP</t>
        </is>
      </c>
    </row>
    <row r="39" ht="15" customHeight="1" s="24">
      <c r="A39" s="23" t="inlineStr">
        <is>
          <t>I038</t>
        </is>
      </c>
      <c r="B39" s="23" t="inlineStr">
        <is>
          <t>Clothing</t>
        </is>
      </c>
      <c r="C39" s="23" t="inlineStr">
        <is>
          <t>High Heels</t>
        </is>
      </c>
      <c r="D39" s="23" t="inlineStr">
        <is>
          <t>Footwear</t>
        </is>
      </c>
      <c r="E39" s="23" t="inlineStr">
        <is>
          <t>None</t>
        </is>
      </c>
      <c r="F39" s="23" t="inlineStr">
        <is>
          <t>Any</t>
        </is>
      </c>
      <c r="G39" s="23" t="n">
        <v>0.2</v>
      </c>
      <c r="H39" s="23">
        <f>ROUND($G39*Settings!$B$3,0)</f>
        <v/>
      </c>
      <c r="I39" s="23">
        <f>ROUND($G39*Settings!$B$4,0)</f>
        <v/>
      </c>
      <c r="J39" s="23">
        <f>ROUND($G39*Settings!$B$5,0)</f>
        <v/>
      </c>
      <c r="K39" s="23" t="inlineStr">
        <is>
          <t>Coolness Factor</t>
        </is>
      </c>
      <c r="L39" s="23" t="n">
        <v>0.04</v>
      </c>
      <c r="O39" s="23" t="inlineStr">
        <is>
          <t>Coolness footwear</t>
        </is>
      </c>
      <c r="Q39" s="23" t="inlineStr">
        <is>
          <t>MVP</t>
        </is>
      </c>
    </row>
    <row r="40" ht="15" customHeight="1" s="24">
      <c r="A40" s="23" t="inlineStr">
        <is>
          <t>I039</t>
        </is>
      </c>
      <c r="B40" s="23" t="inlineStr">
        <is>
          <t>Clothing</t>
        </is>
      </c>
      <c r="C40" s="23" t="inlineStr">
        <is>
          <t>Crocodile Sandals</t>
        </is>
      </c>
      <c r="D40" s="23" t="inlineStr">
        <is>
          <t>Footwear</t>
        </is>
      </c>
      <c r="E40" s="23" t="inlineStr">
        <is>
          <t>None</t>
        </is>
      </c>
      <c r="F40" s="23" t="inlineStr">
        <is>
          <t>Any</t>
        </is>
      </c>
      <c r="G40" s="23" t="n">
        <v>0.1</v>
      </c>
      <c r="H40" s="23">
        <f>ROUND($G40*Settings!$B$3,0)</f>
        <v/>
      </c>
      <c r="I40" s="23">
        <f>ROUND($G40*Settings!$B$4,0)</f>
        <v/>
      </c>
      <c r="J40" s="23">
        <f>ROUND($G40*Settings!$B$5,0)</f>
        <v/>
      </c>
      <c r="K40" s="23" t="inlineStr">
        <is>
          <t>Happiness</t>
        </is>
      </c>
      <c r="L40" s="23" t="n">
        <v>0.03</v>
      </c>
      <c r="N40" s="23" t="n">
        <v>0</v>
      </c>
      <c r="O40" s="23" t="inlineStr">
        <is>
          <t>Comfort meme item</t>
        </is>
      </c>
      <c r="P40" s="23" t="inlineStr">
        <is>
          <t>Comfort meme item | v5: stat penalty removed</t>
        </is>
      </c>
      <c r="Q40" s="23" t="inlineStr">
        <is>
          <t>MVP</t>
        </is>
      </c>
    </row>
    <row r="41" ht="15" customHeight="1" s="24">
      <c r="A41" s="23" t="inlineStr">
        <is>
          <t>I040</t>
        </is>
      </c>
      <c r="B41" s="23" t="inlineStr">
        <is>
          <t>Clothing</t>
        </is>
      </c>
      <c r="C41" s="23" t="inlineStr">
        <is>
          <t>Durag</t>
        </is>
      </c>
      <c r="D41" s="23" t="inlineStr">
        <is>
          <t>Accessory</t>
        </is>
      </c>
      <c r="E41" s="23" t="inlineStr">
        <is>
          <t>None</t>
        </is>
      </c>
      <c r="F41" s="23" t="inlineStr">
        <is>
          <t>Any</t>
        </is>
      </c>
      <c r="G41" s="23" t="n">
        <v>0.12</v>
      </c>
      <c r="H41" s="23">
        <f>ROUND($G41*Settings!$B$3,0)</f>
        <v/>
      </c>
      <c r="I41" s="23">
        <f>ROUND($G41*Settings!$B$4,0)</f>
        <v/>
      </c>
      <c r="J41" s="23">
        <f>ROUND($G41*Settings!$B$5,0)</f>
        <v/>
      </c>
      <c r="K41" s="23" t="inlineStr">
        <is>
          <t>Coolness Factor</t>
        </is>
      </c>
      <c r="L41" s="23" t="n">
        <v>0.04</v>
      </c>
      <c r="N41" s="23" t="n">
        <v>0</v>
      </c>
      <c r="O41" s="23" t="inlineStr">
        <is>
          <t>Playtest-sensitive</t>
        </is>
      </c>
      <c r="P41" s="23" t="inlineStr">
        <is>
          <t>Playtest-sensitive; review feedback | v5: stat penalty removed</t>
        </is>
      </c>
      <c r="Q41" s="23" t="inlineStr">
        <is>
          <t>MVP</t>
        </is>
      </c>
    </row>
    <row r="42" ht="15" customHeight="1" s="24">
      <c r="A42" s="23" t="inlineStr">
        <is>
          <t>I041</t>
        </is>
      </c>
      <c r="B42" s="23" t="inlineStr">
        <is>
          <t>Clothing</t>
        </is>
      </c>
      <c r="C42" s="23" t="inlineStr">
        <is>
          <t>Cap</t>
        </is>
      </c>
      <c r="D42" s="23" t="inlineStr">
        <is>
          <t>Accessory</t>
        </is>
      </c>
      <c r="E42" s="23" t="inlineStr">
        <is>
          <t>None</t>
        </is>
      </c>
      <c r="F42" s="23" t="inlineStr">
        <is>
          <t>Any</t>
        </is>
      </c>
      <c r="G42" s="23" t="n">
        <v>0.1</v>
      </c>
      <c r="H42" s="23">
        <f>ROUND($G42*Settings!$B$3,0)</f>
        <v/>
      </c>
      <c r="I42" s="23">
        <f>ROUND($G42*Settings!$B$4,0)</f>
        <v/>
      </c>
      <c r="J42" s="23">
        <f>ROUND($G42*Settings!$B$5,0)</f>
        <v/>
      </c>
      <c r="K42" s="23" t="inlineStr">
        <is>
          <t>Coolness Factor</t>
        </is>
      </c>
      <c r="L42" s="23" t="n">
        <v>0.025</v>
      </c>
      <c r="O42" s="23" t="inlineStr">
        <is>
          <t>Cheap coolness accessory</t>
        </is>
      </c>
      <c r="P42" s="23" t="inlineStr">
        <is>
          <t>Cheap coolness accessory</t>
        </is>
      </c>
      <c r="Q42" s="23" t="inlineStr">
        <is>
          <t>MVP</t>
        </is>
      </c>
    </row>
    <row r="43" ht="15" customHeight="1" s="24">
      <c r="A43" s="37" t="inlineStr">
        <is>
          <t>I042</t>
        </is>
      </c>
      <c r="B43" s="37" t="inlineStr">
        <is>
          <t>Furniture</t>
        </is>
      </c>
      <c r="C43" s="37" t="inlineStr">
        <is>
          <t>Fancy Dinnerware</t>
        </is>
      </c>
      <c r="D43" s="37" t="inlineStr">
        <is>
          <t>Furniture</t>
        </is>
      </c>
      <c r="E43" s="37" t="inlineStr">
        <is>
          <t>Luxury apartment</t>
        </is>
      </c>
      <c r="F43" s="37" t="inlineStr">
        <is>
          <t>Luxury only</t>
        </is>
      </c>
      <c r="G43" s="37" t="n">
        <v>2.5</v>
      </c>
      <c r="H43" s="37">
        <f>ROUND($G43*Settings!$B$3,0)</f>
        <v/>
      </c>
      <c r="I43" s="37">
        <f>ROUND($G43*Settings!$B$4,0)</f>
        <v/>
      </c>
      <c r="J43" s="37">
        <f>ROUND($G43*Settings!$B$5,0)</f>
        <v/>
      </c>
      <c r="K43" s="37" t="n"/>
      <c r="L43" s="37" t="n">
        <v>0</v>
      </c>
      <c r="M43" s="37" t="n"/>
      <c r="N43" s="37" t="n"/>
      <c r="O43" s="37" t="inlineStr">
        <is>
          <t>REQUIRED for the Host Friends action at Luxury Apartments. Without it there is nothing to serve dinner on and the action is unavailable.</t>
        </is>
      </c>
      <c r="P43" s="37" t="inlineStr">
        <is>
          <t>New in v6. Home fixture: exempt from the best-item-per-slot rule.</t>
        </is>
      </c>
      <c r="Q43" s="37" t="inlineStr">
        <is>
          <t>MVP</t>
        </is>
      </c>
      <c r="R43" s="37" t="inlineStr">
        <is>
          <t>Each Host Friends action at home</t>
        </is>
      </c>
      <c r="S43" s="37" t="inlineStr">
        <is>
          <t>Coolness Factor +1</t>
        </is>
      </c>
    </row>
    <row r="44" ht="15" customHeight="1" s="24"/>
    <row r="45" ht="15" customHeight="1" s="24">
      <c r="A45" s="23" t="inlineStr">
        <is>
          <t>HOUSING GATE RULE (new in v4): 'Any' = buyable regardless of housing (personal items you carry). 'Low Cost OK' = requires housing, works in Low Cost Housing or Luxury. 'Luxury only' = CANNOT be bought or used while living in Low Cost Housing. If a player owning a Luxury-only item moves back to Low Cost Housing or becomes homeless, the item is placed in storage: it stops providing its bonus until they return to Luxury housing. It is not lost.</t>
        </is>
      </c>
    </row>
    <row r="46" ht="15" customHeight="1" s="24">
      <c r="A46" s="23" t="inlineStr">
        <is>
          <t>PRICING RULE (new in v4): every mall price resolves against B, not the stat cap. Prices were raised roughly 2-3x versus v3 so that electronics, appliances, and furniture are mid-game goals rather than turn-2 purchases. Recurring costs (food, rent, pet upkeep) were deliberately NOT raised, so the change slows down accumulation without making survival harder.</t>
        </is>
      </c>
    </row>
    <row r="47" ht="15" customHeight="1" s="24"/>
    <row r="48" ht="15" customHeight="1" s="24">
      <c r="A48" s="23" t="inlineStr">
        <is>
          <t>V5 PRICING: all prices are absolute dollars at the Short baseline (B=100) and scale with B (Medium x2.5, Long x3.5). Prices were raised 5-25x for pacing, and job pay, rent and food were rebuilt to match — see the money economy block in Settings.</t>
        </is>
      </c>
    </row>
    <row r="49" ht="15" customHeight="1" s="24">
      <c r="A49" s="23" t="inlineStr">
        <is>
          <t>V5 BONUSES: flat trigger bonuses are FIXED POINT VALUES, not percentages. They fire every time their trigger action is taken at home. Items with a trigger no longer carry a percentage bonus. All mall stat penalties are removed.</t>
        </is>
      </c>
    </row>
    <row r="50" ht="15" customHeight="1" s="24">
      <c r="A50" s="23" t="inlineStr">
        <is>
          <t>V5 HOME FIXTURES EXEMPTION: bookshelf, plants, dining table, mirror, stove, hot tub, couch, desk, ergonomic chair, cold plunge, beds and pet items are HOME FIXTURES. The best-item-per-slot rule does NOT apply to them — a player owns each one or does not, and every owned fixture fires its own trigger. Only one bed counts (the best owned).</t>
        </is>
      </c>
    </row>
    <row r="52" ht="31.5" customHeight="1" s="24">
      <c r="A52" s="30" t="inlineStr">
        <is>
          <t>V6 ITEM GATES: four Luxury Apartment actions now require a purchase. Sleep in Fancy Bed requires any bed (Lumpy, Nice or Premium). Take Luxury Bath requires the Hot Tub. Relax in Your Suite requires the Couch. Host Friends requires the new Fancy Dinnerware (I042). An empty luxury apartment is now an empty room.</t>
        </is>
      </c>
    </row>
    <row r="53" ht="31.5" customHeight="1" s="24">
      <c r="A53" s="30" t="inlineStr">
        <is>
          <t>V6 UI RULE: an action whose item requirement is unmet must still be listed in the menu, greyed out, with the missing item named on the row ("Needs: Hot Tub - $850 at the Mall"). Hiding it is what makes a menu look broken.</t>
        </is>
      </c>
    </row>
    <row r="54" ht="31.5" customHeight="1" s="24">
      <c r="A54" s="30" t="inlineStr">
        <is>
          <t>V6 UNIT NOTE: the Cost column is a MULTIPLE of B, not a percentage. 0.5 = $50 at the Short baseline, 1 = $100, 20 = $2,000. Reading it as a percentage makes a car cost $20.</t>
        </is>
      </c>
    </row>
  </sheetData>
  <mergeCells count="3">
    <mergeCell ref="A54:S54"/>
    <mergeCell ref="A53:S53"/>
    <mergeCell ref="A52:S5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7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23" min="1" max="1"/>
    <col width="8" customWidth="1" style="23" min="2" max="2"/>
    <col width="24" customWidth="1" style="23" min="3" max="3"/>
    <col width="30" customWidth="1" style="23" min="4" max="4"/>
    <col width="16" customWidth="1" style="23" min="5" max="5"/>
    <col width="14" customWidth="1" style="23" min="6" max="7"/>
    <col width="13" customWidth="1" style="23" min="8" max="8"/>
    <col width="34" customWidth="1" style="23" min="9" max="10"/>
    <col width="18" customWidth="1" style="23" min="11" max="11"/>
    <col width="16" customWidth="1" style="23" min="12" max="12"/>
  </cols>
  <sheetData>
    <row r="1" ht="99.75" customHeight="1" s="24">
      <c r="A1" s="30" t="inlineStr">
        <is>
          <t>CANONICAL JOB LIST — RE-ORDERED IN v6. Rows are now sorted by TIER (Low, Low+, Mid, Mid+, High, Max) and then alphabetically by building, so the job board reads as one ladder and a player can see at a glance which jobs their current clicks and education make available. It is NOT grouped by building any more. v6 also fills in the missing Low+ and Mid+ rungs (previously Low+ had exactly one job in the whole game) and normalises the stray 'Max+' tier on Wolf of Debtstreet to Max. Pay = tier pay x the building's Money Multiplier (Building_Map sheet). Career gain is now set by tier and is the ONLY source of Career from a work click — see the Career Patch v6 block in Settings. Eligibility requires BOTH the tier's work-click count AND its education path; clothing requirements apply on top.</t>
        </is>
      </c>
    </row>
    <row r="3" ht="45" customHeight="1" s="24">
      <c r="A3" s="34" t="inlineStr">
        <is>
          <t>Tier Rank</t>
        </is>
      </c>
      <c r="B3" s="34" t="inlineStr">
        <is>
          <t>Tier</t>
        </is>
      </c>
      <c r="C3" s="34" t="inlineStr">
        <is>
          <t>Building</t>
        </is>
      </c>
      <c r="D3" s="34" t="inlineStr">
        <is>
          <t>Job Name</t>
        </is>
      </c>
      <c r="E3" s="34" t="inlineStr">
        <is>
          <t>Base Pay $ (Short, before multiplier)</t>
        </is>
      </c>
      <c r="F3" s="34" t="inlineStr">
        <is>
          <t>Money Multiplier (Building_Map)</t>
        </is>
      </c>
      <c r="G3" s="34" t="inlineStr">
        <is>
          <t>Pay per click $ (Short, v6)</t>
        </is>
      </c>
      <c r="H3" s="34" t="inlineStr">
        <is>
          <t>Career Gain per click (v6)</t>
        </is>
      </c>
      <c r="I3" s="34" t="inlineStr">
        <is>
          <t>Extra Effect</t>
        </is>
      </c>
      <c r="J3" s="34" t="inlineStr">
        <is>
          <t>Item / Stat Requirement</t>
        </is>
      </c>
      <c r="K3" s="34" t="inlineStr">
        <is>
          <t>Education required</t>
        </is>
      </c>
      <c r="L3" s="34" t="inlineStr">
        <is>
          <t>Work clicks required</t>
        </is>
      </c>
    </row>
    <row r="4" ht="15" customHeight="1" s="24">
      <c r="A4" s="27" t="n">
        <v>1</v>
      </c>
      <c r="B4" s="26" t="inlineStr">
        <is>
          <t>Low</t>
        </is>
      </c>
      <c r="C4" s="27" t="inlineStr">
        <is>
          <t>Air One Supermarket</t>
        </is>
      </c>
      <c r="D4" s="27" t="inlineStr">
        <is>
          <t>Cashier</t>
        </is>
      </c>
      <c r="E4" s="27" t="n">
        <v>40</v>
      </c>
      <c r="F4" s="27" t="n">
        <v>1.1</v>
      </c>
      <c r="G4" s="27">
        <f>ROUND(E4*F4,0)</f>
        <v/>
      </c>
      <c r="H4" s="27" t="n">
        <v>2</v>
      </c>
      <c r="I4" s="27" t="inlineStr">
        <is>
          <t>+1 Health</t>
        </is>
      </c>
      <c r="J4" s="27" t="inlineStr">
        <is>
          <t>Casual Clothes</t>
        </is>
      </c>
      <c r="K4" s="27" t="inlineStr">
        <is>
          <t>No education</t>
        </is>
      </c>
      <c r="L4" s="27" t="inlineStr">
        <is>
          <t>Entry</t>
        </is>
      </c>
    </row>
    <row r="5" ht="15" customHeight="1" s="24">
      <c r="A5" s="27" t="n">
        <v>1</v>
      </c>
      <c r="B5" s="26" t="inlineStr">
        <is>
          <t>Low</t>
        </is>
      </c>
      <c r="C5" s="27" t="inlineStr">
        <is>
          <t>Bad Decisions Club</t>
        </is>
      </c>
      <c r="D5" s="27" t="inlineStr">
        <is>
          <t>Coat Check Staff</t>
        </is>
      </c>
      <c r="E5" s="27" t="n">
        <v>40</v>
      </c>
      <c r="F5" s="27" t="n">
        <v>1.2</v>
      </c>
      <c r="G5" s="27">
        <f>ROUND(E5*F5,0)</f>
        <v/>
      </c>
      <c r="H5" s="27" t="n">
        <v>2</v>
      </c>
      <c r="I5" s="27" t="inlineStr">
        <is>
          <t>+1 Connection, -1 Health</t>
        </is>
      </c>
      <c r="J5" s="27" t="inlineStr">
        <is>
          <t>Casual Clothes, Coolness 10+</t>
        </is>
      </c>
      <c r="K5" s="27" t="inlineStr">
        <is>
          <t>No education</t>
        </is>
      </c>
      <c r="L5" s="27" t="inlineStr">
        <is>
          <t>Entry</t>
        </is>
      </c>
    </row>
    <row r="6" ht="15" customHeight="1" s="24">
      <c r="A6" s="27" t="n">
        <v>1</v>
      </c>
      <c r="B6" s="26" t="inlineStr">
        <is>
          <t>Low</t>
        </is>
      </c>
      <c r="C6" s="27" t="inlineStr">
        <is>
          <t>Bro Science Gym</t>
        </is>
      </c>
      <c r="D6" s="27" t="inlineStr">
        <is>
          <t>Front Desk Staff</t>
        </is>
      </c>
      <c r="E6" s="27" t="n">
        <v>40</v>
      </c>
      <c r="F6" s="27" t="n">
        <v>1.2</v>
      </c>
      <c r="G6" s="27">
        <f>ROUND(E6*F6,0)</f>
        <v/>
      </c>
      <c r="H6" s="27" t="n">
        <v>2</v>
      </c>
      <c r="I6" s="27" t="inlineStr">
        <is>
          <t>+1 Health</t>
        </is>
      </c>
      <c r="J6" s="27" t="inlineStr">
        <is>
          <t>Casual Clothes</t>
        </is>
      </c>
      <c r="K6" s="27" t="inlineStr">
        <is>
          <t>No education</t>
        </is>
      </c>
      <c r="L6" s="27" t="inlineStr">
        <is>
          <t>Entry</t>
        </is>
      </c>
    </row>
    <row r="7" ht="15" customHeight="1" s="24">
      <c r="A7" s="27" t="n">
        <v>1</v>
      </c>
      <c r="B7" s="26" t="inlineStr">
        <is>
          <t>Low</t>
        </is>
      </c>
      <c r="C7" s="27" t="inlineStr">
        <is>
          <t>Corporate Soul Exchange</t>
        </is>
      </c>
      <c r="D7" s="27" t="inlineStr">
        <is>
          <t>Warehouse Worker</t>
        </is>
      </c>
      <c r="E7" s="27" t="n">
        <v>40</v>
      </c>
      <c r="F7" s="27" t="n">
        <v>1</v>
      </c>
      <c r="G7" s="27">
        <f>ROUND(E7*F7,0)</f>
        <v/>
      </c>
      <c r="H7" s="27" t="n">
        <v>2</v>
      </c>
      <c r="I7" s="27" t="inlineStr">
        <is>
          <t>-2 Health, -2 Happiness</t>
        </is>
      </c>
      <c r="J7" s="27" t="inlineStr">
        <is>
          <t>Casual Clothes</t>
        </is>
      </c>
      <c r="K7" s="27" t="inlineStr">
        <is>
          <t>No education</t>
        </is>
      </c>
      <c r="L7" s="27" t="inlineStr">
        <is>
          <t>Entry</t>
        </is>
      </c>
    </row>
    <row r="8" ht="15" customHeight="1" s="24">
      <c r="A8" s="27" t="n">
        <v>1</v>
      </c>
      <c r="B8" s="26" t="inlineStr">
        <is>
          <t>Low</t>
        </is>
      </c>
      <c r="C8" s="27" t="inlineStr">
        <is>
          <t>Debtstreet Capital</t>
        </is>
      </c>
      <c r="D8" s="27" t="inlineStr">
        <is>
          <t>Teller</t>
        </is>
      </c>
      <c r="E8" s="27" t="n">
        <v>40</v>
      </c>
      <c r="F8" s="27" t="n">
        <v>1</v>
      </c>
      <c r="G8" s="27">
        <f>ROUND(E8*F8,0)</f>
        <v/>
      </c>
      <c r="H8" s="27" t="n">
        <v>2</v>
      </c>
      <c r="I8" s="27" t="inlineStr">
        <is>
          <t>+1 Critical Thinking</t>
        </is>
      </c>
      <c r="J8" s="27" t="inlineStr">
        <is>
          <t>Casual Clothes</t>
        </is>
      </c>
      <c r="K8" s="27" t="inlineStr">
        <is>
          <t>No education</t>
        </is>
      </c>
      <c r="L8" s="27" t="inlineStr">
        <is>
          <t>Entry</t>
        </is>
      </c>
    </row>
    <row r="9" ht="15" customHeight="1" s="24">
      <c r="A9" s="27" t="n">
        <v>1</v>
      </c>
      <c r="B9" s="26" t="inlineStr">
        <is>
          <t>Low</t>
        </is>
      </c>
      <c r="C9" s="27" t="inlineStr">
        <is>
          <t>Emotional Baggage Airport</t>
        </is>
      </c>
      <c r="D9" s="27" t="inlineStr">
        <is>
          <t>Gate Agent</t>
        </is>
      </c>
      <c r="E9" s="27" t="n">
        <v>40</v>
      </c>
      <c r="F9" s="27" t="n">
        <v>1.35</v>
      </c>
      <c r="G9" s="27">
        <f>ROUND(E9*F9,0)</f>
        <v/>
      </c>
      <c r="H9" s="27" t="n">
        <v>2</v>
      </c>
      <c r="I9" s="27" t="inlineStr">
        <is>
          <t>-1 Happiness</t>
        </is>
      </c>
      <c r="J9" s="27" t="inlineStr">
        <is>
          <t>Casual Clothes</t>
        </is>
      </c>
      <c r="K9" s="27" t="inlineStr">
        <is>
          <t>No education</t>
        </is>
      </c>
      <c r="L9" s="27" t="inlineStr">
        <is>
          <t>Entry</t>
        </is>
      </c>
    </row>
    <row r="10" ht="15" customHeight="1" s="24">
      <c r="A10" s="27" t="n">
        <v>1</v>
      </c>
      <c r="B10" s="26" t="inlineStr">
        <is>
          <t>Low</t>
        </is>
      </c>
      <c r="C10" s="27" t="inlineStr">
        <is>
          <t>Ethical Pet Shop</t>
        </is>
      </c>
      <c r="D10" s="27" t="inlineStr">
        <is>
          <t>Pet Poop Cleaner</t>
        </is>
      </c>
      <c r="E10" s="27" t="n">
        <v>40</v>
      </c>
      <c r="F10" s="27" t="n">
        <v>1.2</v>
      </c>
      <c r="G10" s="27">
        <f>ROUND(E10*F10,0)</f>
        <v/>
      </c>
      <c r="H10" s="27" t="n">
        <v>2</v>
      </c>
      <c r="I10" s="27" t="inlineStr">
        <is>
          <t>+2 Pet Happiness</t>
        </is>
      </c>
      <c r="J10" s="27" t="inlineStr">
        <is>
          <t>Casual Clothes</t>
        </is>
      </c>
      <c r="K10" s="27" t="inlineStr">
        <is>
          <t>No education</t>
        </is>
      </c>
      <c r="L10" s="27" t="inlineStr">
        <is>
          <t>Entry</t>
        </is>
      </c>
    </row>
    <row r="11" ht="15" customHeight="1" s="24">
      <c r="A11" s="27" t="n">
        <v>1</v>
      </c>
      <c r="B11" s="26" t="inlineStr">
        <is>
          <t>Low</t>
        </is>
      </c>
      <c r="C11" s="27" t="inlineStr">
        <is>
          <t>High IQ University</t>
        </is>
      </c>
      <c r="D11" s="27" t="inlineStr">
        <is>
          <t>Janitor</t>
        </is>
      </c>
      <c r="E11" s="27" t="n">
        <v>40</v>
      </c>
      <c r="F11" s="27" t="n">
        <v>1.1</v>
      </c>
      <c r="G11" s="27">
        <f>ROUND(E11*F11,0)</f>
        <v/>
      </c>
      <c r="H11" s="27" t="n">
        <v>2</v>
      </c>
      <c r="I11" s="27" t="inlineStr">
        <is>
          <t>+1 Health</t>
        </is>
      </c>
      <c r="J11" s="27" t="inlineStr">
        <is>
          <t>Casual Clothes</t>
        </is>
      </c>
      <c r="K11" s="27" t="inlineStr">
        <is>
          <t>No education</t>
        </is>
      </c>
      <c r="L11" s="27" t="inlineStr">
        <is>
          <t>Entry</t>
        </is>
      </c>
    </row>
    <row r="12" ht="15" customHeight="1" s="24">
      <c r="A12" s="27" t="n">
        <v>1</v>
      </c>
      <c r="B12" s="26" t="inlineStr">
        <is>
          <t>Low</t>
        </is>
      </c>
      <c r="C12" s="27" t="inlineStr">
        <is>
          <t>Mall</t>
        </is>
      </c>
      <c r="D12" s="27" t="inlineStr">
        <is>
          <t>Cashier</t>
        </is>
      </c>
      <c r="E12" s="27" t="n">
        <v>40</v>
      </c>
      <c r="F12" s="27" t="n">
        <v>1</v>
      </c>
      <c r="G12" s="27">
        <f>ROUND(E12*F12,0)</f>
        <v/>
      </c>
      <c r="H12" s="27" t="n">
        <v>2</v>
      </c>
      <c r="I12" s="27" t="inlineStr">
        <is>
          <t>+1 Coolness</t>
        </is>
      </c>
      <c r="J12" s="27" t="inlineStr">
        <is>
          <t>Casual Clothes</t>
        </is>
      </c>
      <c r="K12" s="27" t="inlineStr">
        <is>
          <t>No education</t>
        </is>
      </c>
      <c r="L12" s="27" t="inlineStr">
        <is>
          <t>Entry</t>
        </is>
      </c>
    </row>
    <row r="13" ht="15" customHeight="1" s="24">
      <c r="A13" s="27" t="n">
        <v>1</v>
      </c>
      <c r="B13" s="26" t="inlineStr">
        <is>
          <t>Low</t>
        </is>
      </c>
      <c r="C13" s="27" t="inlineStr">
        <is>
          <t>Re-Education Temple</t>
        </is>
      </c>
      <c r="D13" s="27" t="inlineStr">
        <is>
          <t>Chant Circle Assistant</t>
        </is>
      </c>
      <c r="E13" s="27" t="n">
        <v>40</v>
      </c>
      <c r="F13" s="27" t="n">
        <v>1.35</v>
      </c>
      <c r="G13" s="27">
        <f>ROUND(E13*F13,0)</f>
        <v/>
      </c>
      <c r="H13" s="27" t="n">
        <v>2</v>
      </c>
      <c r="I13" s="27" t="inlineStr">
        <is>
          <t>+2 Enlightenment</t>
        </is>
      </c>
      <c r="J13" s="27" t="inlineStr">
        <is>
          <t>Casual Clothes</t>
        </is>
      </c>
      <c r="K13" s="27" t="inlineStr">
        <is>
          <t>No education</t>
        </is>
      </c>
      <c r="L13" s="27" t="inlineStr">
        <is>
          <t>Entry</t>
        </is>
      </c>
    </row>
    <row r="14" ht="15" customHeight="1" s="24">
      <c r="A14" s="27" t="n">
        <v>1</v>
      </c>
      <c r="B14" s="26" t="inlineStr">
        <is>
          <t>Low</t>
        </is>
      </c>
      <c r="C14" s="27" t="inlineStr">
        <is>
          <t>Regret Burger</t>
        </is>
      </c>
      <c r="D14" s="27" t="inlineStr">
        <is>
          <t>Cook</t>
        </is>
      </c>
      <c r="E14" s="27" t="n">
        <v>40</v>
      </c>
      <c r="F14" s="27" t="n">
        <v>1.1</v>
      </c>
      <c r="G14" s="27">
        <f>ROUND(E14*F14,0)</f>
        <v/>
      </c>
      <c r="H14" s="27" t="n">
        <v>2</v>
      </c>
      <c r="I14" s="27" t="inlineStr">
        <is>
          <t>-2 Health, -1 Happiness</t>
        </is>
      </c>
      <c r="J14" s="27" t="inlineStr">
        <is>
          <t>Casual Clothes</t>
        </is>
      </c>
      <c r="K14" s="27" t="inlineStr">
        <is>
          <t>No education</t>
        </is>
      </c>
      <c r="L14" s="27" t="inlineStr">
        <is>
          <t>Entry</t>
        </is>
      </c>
    </row>
    <row r="15" ht="15" customHeight="1" s="24">
      <c r="A15" s="27" t="n">
        <v>2</v>
      </c>
      <c r="B15" s="26" t="inlineStr">
        <is>
          <t>Low+</t>
        </is>
      </c>
      <c r="C15" s="27" t="inlineStr">
        <is>
          <t>Air One Supermarket</t>
        </is>
      </c>
      <c r="D15" s="38" t="inlineStr">
        <is>
          <t>Produce Mister</t>
        </is>
      </c>
      <c r="E15" s="27" t="n">
        <v>65</v>
      </c>
      <c r="F15" s="27" t="n">
        <v>1.1</v>
      </c>
      <c r="G15" s="27">
        <f>ROUND(E15*F15,0)</f>
        <v/>
      </c>
      <c r="H15" s="27" t="n">
        <v>2</v>
      </c>
      <c r="I15" s="27" t="inlineStr">
        <is>
          <t>+1 Health</t>
        </is>
      </c>
      <c r="J15" s="27" t="inlineStr">
        <is>
          <t>Casual Clothes</t>
        </is>
      </c>
      <c r="K15" s="27" t="inlineStr">
        <is>
          <t>Path 1 complete</t>
        </is>
      </c>
      <c r="L15" s="27" t="inlineStr">
        <is>
          <t>10 Low clicks</t>
        </is>
      </c>
    </row>
    <row r="16" ht="15" customHeight="1" s="24">
      <c r="A16" s="27" t="n">
        <v>2</v>
      </c>
      <c r="B16" s="26" t="inlineStr">
        <is>
          <t>Low+</t>
        </is>
      </c>
      <c r="C16" s="27" t="inlineStr">
        <is>
          <t>Bad Decisions Club</t>
        </is>
      </c>
      <c r="D16" s="38" t="inlineStr">
        <is>
          <t>Shot Runner</t>
        </is>
      </c>
      <c r="E16" s="27" t="n">
        <v>65</v>
      </c>
      <c r="F16" s="27" t="n">
        <v>1.2</v>
      </c>
      <c r="G16" s="27">
        <f>ROUND(E16*F16,0)</f>
        <v/>
      </c>
      <c r="H16" s="27" t="n">
        <v>2</v>
      </c>
      <c r="I16" s="27" t="inlineStr">
        <is>
          <t>+1 Connection, -1 Health</t>
        </is>
      </c>
      <c r="J16" s="27" t="inlineStr">
        <is>
          <t>Casual Clothes, Coolness 15+</t>
        </is>
      </c>
      <c r="K16" s="27" t="inlineStr">
        <is>
          <t>Path 1 complete</t>
        </is>
      </c>
      <c r="L16" s="27" t="inlineStr">
        <is>
          <t>10 Low clicks</t>
        </is>
      </c>
    </row>
    <row r="17" ht="15" customHeight="1" s="24">
      <c r="A17" s="27" t="n">
        <v>2</v>
      </c>
      <c r="B17" s="26" t="inlineStr">
        <is>
          <t>Low+</t>
        </is>
      </c>
      <c r="C17" s="27" t="inlineStr">
        <is>
          <t>Bro Science Gym</t>
        </is>
      </c>
      <c r="D17" s="38" t="inlineStr">
        <is>
          <t>Towel Attendant</t>
        </is>
      </c>
      <c r="E17" s="27" t="n">
        <v>65</v>
      </c>
      <c r="F17" s="27" t="n">
        <v>1.2</v>
      </c>
      <c r="G17" s="27">
        <f>ROUND(E17*F17,0)</f>
        <v/>
      </c>
      <c r="H17" s="27" t="n">
        <v>2</v>
      </c>
      <c r="I17" s="27" t="inlineStr">
        <is>
          <t>+1 Health, +1 Coolness</t>
        </is>
      </c>
      <c r="J17" s="27" t="inlineStr">
        <is>
          <t>Casual Clothes</t>
        </is>
      </c>
      <c r="K17" s="27" t="inlineStr">
        <is>
          <t>Path 1 complete</t>
        </is>
      </c>
      <c r="L17" s="27" t="inlineStr">
        <is>
          <t>10 Low clicks</t>
        </is>
      </c>
    </row>
    <row r="18" ht="15" customHeight="1" s="24">
      <c r="A18" s="27" t="n">
        <v>2</v>
      </c>
      <c r="B18" s="26" t="inlineStr">
        <is>
          <t>Low+</t>
        </is>
      </c>
      <c r="C18" s="27" t="inlineStr">
        <is>
          <t>Corporate Soul Exchange</t>
        </is>
      </c>
      <c r="D18" s="38" t="inlineStr">
        <is>
          <t>Mailroom Clerk</t>
        </is>
      </c>
      <c r="E18" s="27" t="n">
        <v>65</v>
      </c>
      <c r="F18" s="27" t="n">
        <v>1</v>
      </c>
      <c r="G18" s="27">
        <f>ROUND(E18*F18,0)</f>
        <v/>
      </c>
      <c r="H18" s="27" t="n">
        <v>2</v>
      </c>
      <c r="I18" s="27" t="inlineStr">
        <is>
          <t>-1 Health, -1 Happiness</t>
        </is>
      </c>
      <c r="J18" s="27" t="inlineStr">
        <is>
          <t>Casual Clothes</t>
        </is>
      </c>
      <c r="K18" s="27" t="inlineStr">
        <is>
          <t>Path 1 complete</t>
        </is>
      </c>
      <c r="L18" s="27" t="inlineStr">
        <is>
          <t>10 Low clicks</t>
        </is>
      </c>
    </row>
    <row r="19" ht="15" customHeight="1" s="24">
      <c r="A19" s="27" t="n">
        <v>2</v>
      </c>
      <c r="B19" s="26" t="inlineStr">
        <is>
          <t>Low+</t>
        </is>
      </c>
      <c r="C19" s="27" t="inlineStr">
        <is>
          <t>Debtstreet Capital</t>
        </is>
      </c>
      <c r="D19" s="38" t="inlineStr">
        <is>
          <t>Cold Call Associate</t>
        </is>
      </c>
      <c r="E19" s="27" t="n">
        <v>65</v>
      </c>
      <c r="F19" s="27" t="n">
        <v>1</v>
      </c>
      <c r="G19" s="27">
        <f>ROUND(E19*F19,0)</f>
        <v/>
      </c>
      <c r="H19" s="27" t="n">
        <v>2</v>
      </c>
      <c r="I19" s="27" t="inlineStr">
        <is>
          <t>+1 Critical Thinking, -1 Happiness</t>
        </is>
      </c>
      <c r="J19" s="27" t="inlineStr">
        <is>
          <t>Casual Clothes</t>
        </is>
      </c>
      <c r="K19" s="27" t="inlineStr">
        <is>
          <t>Path 1 complete</t>
        </is>
      </c>
      <c r="L19" s="27" t="inlineStr">
        <is>
          <t>10 Low clicks</t>
        </is>
      </c>
    </row>
    <row r="20" ht="15" customHeight="1" s="24">
      <c r="A20" s="27" t="n">
        <v>2</v>
      </c>
      <c r="B20" s="26" t="inlineStr">
        <is>
          <t>Low+</t>
        </is>
      </c>
      <c r="C20" s="27" t="inlineStr">
        <is>
          <t>Emotional Baggage Airport</t>
        </is>
      </c>
      <c r="D20" s="38" t="inlineStr">
        <is>
          <t>Baggage Handler</t>
        </is>
      </c>
      <c r="E20" s="27" t="n">
        <v>65</v>
      </c>
      <c r="F20" s="27" t="n">
        <v>1.35</v>
      </c>
      <c r="G20" s="27">
        <f>ROUND(E20*F20,0)</f>
        <v/>
      </c>
      <c r="H20" s="27" t="n">
        <v>2</v>
      </c>
      <c r="I20" s="27" t="inlineStr">
        <is>
          <t>-2 Health</t>
        </is>
      </c>
      <c r="J20" s="27" t="inlineStr">
        <is>
          <t>Casual Clothes</t>
        </is>
      </c>
      <c r="K20" s="27" t="inlineStr">
        <is>
          <t>Path 1 complete</t>
        </is>
      </c>
      <c r="L20" s="27" t="inlineStr">
        <is>
          <t>10 Low clicks</t>
        </is>
      </c>
    </row>
    <row r="21" ht="15" customHeight="1" s="24">
      <c r="A21" s="27" t="n">
        <v>2</v>
      </c>
      <c r="B21" s="26" t="inlineStr">
        <is>
          <t>Low+</t>
        </is>
      </c>
      <c r="C21" s="27" t="inlineStr">
        <is>
          <t>Ethical Pet Shop</t>
        </is>
      </c>
      <c r="D21" s="38" t="inlineStr">
        <is>
          <t>Litter Technician</t>
        </is>
      </c>
      <c r="E21" s="27" t="n">
        <v>65</v>
      </c>
      <c r="F21" s="27" t="n">
        <v>1.2</v>
      </c>
      <c r="G21" s="27">
        <f>ROUND(E21*F21,0)</f>
        <v/>
      </c>
      <c r="H21" s="27" t="n">
        <v>2</v>
      </c>
      <c r="I21" s="27" t="inlineStr">
        <is>
          <t>+1 Pet Health, +1 Pet Happiness</t>
        </is>
      </c>
      <c r="J21" s="27" t="inlineStr">
        <is>
          <t>Casual Clothes</t>
        </is>
      </c>
      <c r="K21" s="27" t="inlineStr">
        <is>
          <t>Path 1 complete</t>
        </is>
      </c>
      <c r="L21" s="27" t="inlineStr">
        <is>
          <t>10 Low clicks</t>
        </is>
      </c>
    </row>
    <row r="22" ht="15" customHeight="1" s="24">
      <c r="A22" s="27" t="n">
        <v>2</v>
      </c>
      <c r="B22" s="26" t="inlineStr">
        <is>
          <t>Low+</t>
        </is>
      </c>
      <c r="C22" s="27" t="inlineStr">
        <is>
          <t>High IQ University</t>
        </is>
      </c>
      <c r="D22" s="38" t="inlineStr">
        <is>
          <t>Library Assistant</t>
        </is>
      </c>
      <c r="E22" s="27" t="n">
        <v>65</v>
      </c>
      <c r="F22" s="27" t="n">
        <v>1.1</v>
      </c>
      <c r="G22" s="27">
        <f>ROUND(E22*F22,0)</f>
        <v/>
      </c>
      <c r="H22" s="27" t="n">
        <v>2</v>
      </c>
      <c r="I22" s="27" t="inlineStr">
        <is>
          <t>+1 Critical Thinking</t>
        </is>
      </c>
      <c r="J22" s="27" t="inlineStr">
        <is>
          <t>Casual Clothes</t>
        </is>
      </c>
      <c r="K22" s="27" t="inlineStr">
        <is>
          <t>Path 1 complete</t>
        </is>
      </c>
      <c r="L22" s="27" t="inlineStr">
        <is>
          <t>10 Low clicks</t>
        </is>
      </c>
    </row>
    <row r="23" ht="15" customHeight="1" s="24">
      <c r="A23" s="27" t="n">
        <v>2</v>
      </c>
      <c r="B23" s="26" t="inlineStr">
        <is>
          <t>Low+</t>
        </is>
      </c>
      <c r="C23" s="27" t="inlineStr">
        <is>
          <t>Mall</t>
        </is>
      </c>
      <c r="D23" s="38" t="inlineStr">
        <is>
          <t>Kiosk Attendant</t>
        </is>
      </c>
      <c r="E23" s="27" t="n">
        <v>65</v>
      </c>
      <c r="F23" s="27" t="n">
        <v>1</v>
      </c>
      <c r="G23" s="27">
        <f>ROUND(E23*F23,0)</f>
        <v/>
      </c>
      <c r="H23" s="27" t="n">
        <v>2</v>
      </c>
      <c r="I23" s="27" t="inlineStr">
        <is>
          <t>+1 Coolness</t>
        </is>
      </c>
      <c r="J23" s="27" t="inlineStr">
        <is>
          <t>Casual Clothes</t>
        </is>
      </c>
      <c r="K23" s="27" t="inlineStr">
        <is>
          <t>Path 1 complete</t>
        </is>
      </c>
      <c r="L23" s="27" t="inlineStr">
        <is>
          <t>10 Low clicks</t>
        </is>
      </c>
    </row>
    <row r="24" ht="15" customHeight="1" s="24">
      <c r="A24" s="27" t="n">
        <v>2</v>
      </c>
      <c r="B24" s="26" t="inlineStr">
        <is>
          <t>Low+</t>
        </is>
      </c>
      <c r="C24" s="27" t="inlineStr">
        <is>
          <t>Re-Education Temple</t>
        </is>
      </c>
      <c r="D24" s="38" t="inlineStr">
        <is>
          <t>Candle Lighter</t>
        </is>
      </c>
      <c r="E24" s="27" t="n">
        <v>65</v>
      </c>
      <c r="F24" s="27" t="n">
        <v>1.35</v>
      </c>
      <c r="G24" s="27">
        <f>ROUND(E24*F24,0)</f>
        <v/>
      </c>
      <c r="H24" s="27" t="n">
        <v>2</v>
      </c>
      <c r="I24" s="27" t="inlineStr">
        <is>
          <t>+2 Enlightenment</t>
        </is>
      </c>
      <c r="J24" s="27" t="inlineStr">
        <is>
          <t>Casual Clothes</t>
        </is>
      </c>
      <c r="K24" s="27" t="inlineStr">
        <is>
          <t>Path 1 complete</t>
        </is>
      </c>
      <c r="L24" s="27" t="inlineStr">
        <is>
          <t>10 Low clicks</t>
        </is>
      </c>
    </row>
    <row r="25" ht="15" customHeight="1" s="24">
      <c r="A25" s="27" t="n">
        <v>2</v>
      </c>
      <c r="B25" s="26" t="inlineStr">
        <is>
          <t>Low+</t>
        </is>
      </c>
      <c r="C25" s="27" t="inlineStr">
        <is>
          <t>Regret Burger</t>
        </is>
      </c>
      <c r="D25" s="27" t="inlineStr">
        <is>
          <t>Cashier</t>
        </is>
      </c>
      <c r="E25" s="27" t="n">
        <v>65</v>
      </c>
      <c r="F25" s="27" t="n">
        <v>1.1</v>
      </c>
      <c r="G25" s="27">
        <f>ROUND(E25*F25,0)</f>
        <v/>
      </c>
      <c r="H25" s="27" t="n">
        <v>2</v>
      </c>
      <c r="I25" s="27" t="inlineStr">
        <is>
          <t>-1 Health, -1 Happiness</t>
        </is>
      </c>
      <c r="J25" s="27" t="inlineStr">
        <is>
          <t>Casual Clothes, Connection 10+</t>
        </is>
      </c>
      <c r="K25" s="27" t="inlineStr">
        <is>
          <t>Path 1 complete</t>
        </is>
      </c>
      <c r="L25" s="27" t="inlineStr">
        <is>
          <t>10 Low clicks</t>
        </is>
      </c>
    </row>
    <row r="26" ht="15" customHeight="1" s="24">
      <c r="A26" s="27" t="n">
        <v>3</v>
      </c>
      <c r="B26" s="26" t="inlineStr">
        <is>
          <t>Mid</t>
        </is>
      </c>
      <c r="C26" s="27" t="inlineStr">
        <is>
          <t>Air One Supermarket</t>
        </is>
      </c>
      <c r="D26" s="27" t="inlineStr">
        <is>
          <t>Premium Shake Maker</t>
        </is>
      </c>
      <c r="E26" s="27" t="n">
        <v>110</v>
      </c>
      <c r="F26" s="27" t="n">
        <v>1.1</v>
      </c>
      <c r="G26" s="27">
        <f>ROUND(E26*F26,0)</f>
        <v/>
      </c>
      <c r="H26" s="27" t="n">
        <v>3</v>
      </c>
      <c r="I26" s="27" t="inlineStr">
        <is>
          <t>+2 Health</t>
        </is>
      </c>
      <c r="J26" s="27" t="inlineStr">
        <is>
          <t>Smart Clothes, Critical Thinking 20+</t>
        </is>
      </c>
      <c r="K26" s="27" t="inlineStr">
        <is>
          <t>Path 2 complete</t>
        </is>
      </c>
      <c r="L26" s="27" t="inlineStr">
        <is>
          <t>15 Low+ / 20 Low</t>
        </is>
      </c>
    </row>
    <row r="27" ht="15" customHeight="1" s="24">
      <c r="A27" s="27" t="n">
        <v>3</v>
      </c>
      <c r="B27" s="26" t="inlineStr">
        <is>
          <t>Mid</t>
        </is>
      </c>
      <c r="C27" s="27" t="inlineStr">
        <is>
          <t>Bad Decisions Club</t>
        </is>
      </c>
      <c r="D27" s="27" t="inlineStr">
        <is>
          <t>Bouncer</t>
        </is>
      </c>
      <c r="E27" s="27" t="n">
        <v>110</v>
      </c>
      <c r="F27" s="27" t="n">
        <v>1.2</v>
      </c>
      <c r="G27" s="27">
        <f>ROUND(E27*F27,0)</f>
        <v/>
      </c>
      <c r="H27" s="27" t="n">
        <v>3</v>
      </c>
      <c r="I27" s="27" t="inlineStr">
        <is>
          <t>+1 Coolness, -2 Health</t>
        </is>
      </c>
      <c r="J27" s="27" t="inlineStr">
        <is>
          <t>Dressy Clothes, Coolness 25+</t>
        </is>
      </c>
      <c r="K27" s="27" t="inlineStr">
        <is>
          <t>Path 2 complete</t>
        </is>
      </c>
      <c r="L27" s="27" t="inlineStr">
        <is>
          <t>15 Low+ / 20 Low</t>
        </is>
      </c>
    </row>
    <row r="28" ht="15" customHeight="1" s="24">
      <c r="A28" s="27" t="n">
        <v>3</v>
      </c>
      <c r="B28" s="26" t="inlineStr">
        <is>
          <t>Mid</t>
        </is>
      </c>
      <c r="C28" s="27" t="inlineStr">
        <is>
          <t>Bro Science Gym</t>
        </is>
      </c>
      <c r="D28" s="27" t="inlineStr">
        <is>
          <t>Personal Trainer</t>
        </is>
      </c>
      <c r="E28" s="27" t="n">
        <v>110</v>
      </c>
      <c r="F28" s="27" t="n">
        <v>1.2</v>
      </c>
      <c r="G28" s="27">
        <f>ROUND(E28*F28,0)</f>
        <v/>
      </c>
      <c r="H28" s="27" t="n">
        <v>3</v>
      </c>
      <c r="I28" s="27" t="inlineStr">
        <is>
          <t>+3 Health, +1 Coolness</t>
        </is>
      </c>
      <c r="J28" s="27" t="inlineStr">
        <is>
          <t>Smart Clothes, Health 25+</t>
        </is>
      </c>
      <c r="K28" s="27" t="inlineStr">
        <is>
          <t>Path 2 complete</t>
        </is>
      </c>
      <c r="L28" s="27" t="inlineStr">
        <is>
          <t>15 Low+ / 20 Low</t>
        </is>
      </c>
    </row>
    <row r="29" ht="15" customHeight="1" s="24">
      <c r="A29" s="27" t="n">
        <v>3</v>
      </c>
      <c r="B29" s="26" t="inlineStr">
        <is>
          <t>Mid</t>
        </is>
      </c>
      <c r="C29" s="27" t="inlineStr">
        <is>
          <t>Corporate Soul Exchange</t>
        </is>
      </c>
      <c r="D29" s="27" t="inlineStr">
        <is>
          <t>Warehouse Supervisor</t>
        </is>
      </c>
      <c r="E29" s="27" t="n">
        <v>110</v>
      </c>
      <c r="F29" s="27" t="n">
        <v>1</v>
      </c>
      <c r="G29" s="27">
        <f>ROUND(E29*F29,0)</f>
        <v/>
      </c>
      <c r="H29" s="27" t="n">
        <v>3</v>
      </c>
      <c r="I29" s="27" t="inlineStr">
        <is>
          <t>-3 Health, -3 Happiness</t>
        </is>
      </c>
      <c r="J29" s="27" t="inlineStr">
        <is>
          <t>Smart Clothes, Career 20+</t>
        </is>
      </c>
      <c r="K29" s="27" t="inlineStr">
        <is>
          <t>Path 2 complete</t>
        </is>
      </c>
      <c r="L29" s="27" t="inlineStr">
        <is>
          <t>15 Low+ / 20 Low</t>
        </is>
      </c>
    </row>
    <row r="30" ht="15" customHeight="1" s="24">
      <c r="A30" s="27" t="n">
        <v>3</v>
      </c>
      <c r="B30" s="26" t="inlineStr">
        <is>
          <t>Mid</t>
        </is>
      </c>
      <c r="C30" s="27" t="inlineStr">
        <is>
          <t>Debtstreet Capital</t>
        </is>
      </c>
      <c r="D30" s="27" t="inlineStr">
        <is>
          <t>Junior Loan Shark</t>
        </is>
      </c>
      <c r="E30" s="27" t="n">
        <v>110</v>
      </c>
      <c r="F30" s="27" t="n">
        <v>1</v>
      </c>
      <c r="G30" s="27">
        <f>ROUND(E30*F30,0)</f>
        <v/>
      </c>
      <c r="H30" s="27" t="n">
        <v>3</v>
      </c>
      <c r="I30" s="27" t="inlineStr">
        <is>
          <t>+2 Critical Thinking, -1 Enlightenment</t>
        </is>
      </c>
      <c r="J30" s="27" t="inlineStr">
        <is>
          <t>Smart Clothes, Critical Thinking 25+</t>
        </is>
      </c>
      <c r="K30" s="27" t="inlineStr">
        <is>
          <t>Path 2 complete</t>
        </is>
      </c>
      <c r="L30" s="27" t="inlineStr">
        <is>
          <t>15 Low+ / 20 Low</t>
        </is>
      </c>
    </row>
    <row r="31" ht="15" customHeight="1" s="24">
      <c r="A31" s="27" t="n">
        <v>3</v>
      </c>
      <c r="B31" s="26" t="inlineStr">
        <is>
          <t>Mid</t>
        </is>
      </c>
      <c r="C31" s="27" t="inlineStr">
        <is>
          <t>Emotional Baggage Airport</t>
        </is>
      </c>
      <c r="D31" s="27" t="inlineStr">
        <is>
          <t>Flight Attendant</t>
        </is>
      </c>
      <c r="E31" s="27" t="n">
        <v>110</v>
      </c>
      <c r="F31" s="27" t="n">
        <v>1.35</v>
      </c>
      <c r="G31" s="27">
        <f>ROUND(E31*F31,0)</f>
        <v/>
      </c>
      <c r="H31" s="27" t="n">
        <v>3</v>
      </c>
      <c r="I31" s="27" t="inlineStr">
        <is>
          <t>+2 Connection, -2 Health</t>
        </is>
      </c>
      <c r="J31" s="27" t="inlineStr">
        <is>
          <t>Smart Clothes, Career 25+, Coolness 20+</t>
        </is>
      </c>
      <c r="K31" s="27" t="inlineStr">
        <is>
          <t>Path 2 complete</t>
        </is>
      </c>
      <c r="L31" s="27" t="inlineStr">
        <is>
          <t>15 Low+ / 20 Low</t>
        </is>
      </c>
    </row>
    <row r="32" ht="15" customHeight="1" s="24">
      <c r="A32" s="27" t="n">
        <v>3</v>
      </c>
      <c r="B32" s="26" t="inlineStr">
        <is>
          <t>Mid</t>
        </is>
      </c>
      <c r="C32" s="27" t="inlineStr">
        <is>
          <t>Ethical Pet Shop</t>
        </is>
      </c>
      <c r="D32" s="27" t="inlineStr">
        <is>
          <t>Pet Spa Technician</t>
        </is>
      </c>
      <c r="E32" s="27" t="n">
        <v>110</v>
      </c>
      <c r="F32" s="27" t="n">
        <v>1.2</v>
      </c>
      <c r="G32" s="27">
        <f>ROUND(E32*F32,0)</f>
        <v/>
      </c>
      <c r="H32" s="27" t="n">
        <v>3</v>
      </c>
      <c r="I32" s="27" t="inlineStr">
        <is>
          <t>+2 Pet Health, +1 Connection</t>
        </is>
      </c>
      <c r="J32" s="27" t="inlineStr">
        <is>
          <t>Smart Clothes, Connection 20+</t>
        </is>
      </c>
      <c r="K32" s="27" t="inlineStr">
        <is>
          <t>Path 2 complete</t>
        </is>
      </c>
      <c r="L32" s="27" t="inlineStr">
        <is>
          <t>15 Low+ / 20 Low</t>
        </is>
      </c>
    </row>
    <row r="33" ht="15" customHeight="1" s="24">
      <c r="A33" s="27" t="n">
        <v>3</v>
      </c>
      <c r="B33" s="26" t="inlineStr">
        <is>
          <t>Mid</t>
        </is>
      </c>
      <c r="C33" s="27" t="inlineStr">
        <is>
          <t>High IQ University</t>
        </is>
      </c>
      <c r="D33" s="27" t="inlineStr">
        <is>
          <t>Teaching Assistant</t>
        </is>
      </c>
      <c r="E33" s="27" t="n">
        <v>110</v>
      </c>
      <c r="F33" s="27" t="n">
        <v>1.1</v>
      </c>
      <c r="G33" s="27">
        <f>ROUND(E33*F33,0)</f>
        <v/>
      </c>
      <c r="H33" s="27" t="n">
        <v>3</v>
      </c>
      <c r="I33" s="27" t="inlineStr">
        <is>
          <t>+3 Critical Thinking</t>
        </is>
      </c>
      <c r="J33" s="27" t="inlineStr">
        <is>
          <t>Smart Clothes, Critical Thinking 30+</t>
        </is>
      </c>
      <c r="K33" s="27" t="inlineStr">
        <is>
          <t>Path 2 complete</t>
        </is>
      </c>
      <c r="L33" s="27" t="inlineStr">
        <is>
          <t>15 Low+ / 20 Low</t>
        </is>
      </c>
    </row>
    <row r="34" ht="15" customHeight="1" s="24">
      <c r="A34" s="27" t="n">
        <v>3</v>
      </c>
      <c r="B34" s="26" t="inlineStr">
        <is>
          <t>Mid</t>
        </is>
      </c>
      <c r="C34" s="27" t="inlineStr">
        <is>
          <t>Mall</t>
        </is>
      </c>
      <c r="D34" s="27" t="inlineStr">
        <is>
          <t>Store Manager</t>
        </is>
      </c>
      <c r="E34" s="27" t="n">
        <v>110</v>
      </c>
      <c r="F34" s="27" t="n">
        <v>1</v>
      </c>
      <c r="G34" s="27">
        <f>ROUND(E34*F34,0)</f>
        <v/>
      </c>
      <c r="H34" s="27" t="n">
        <v>3</v>
      </c>
      <c r="I34" s="27" t="inlineStr">
        <is>
          <t>+2 Coolness, +1 Happiness</t>
        </is>
      </c>
      <c r="J34" s="27" t="inlineStr">
        <is>
          <t>Smart Clothes, Career 25+</t>
        </is>
      </c>
      <c r="K34" s="27" t="inlineStr">
        <is>
          <t>Path 2 complete</t>
        </is>
      </c>
      <c r="L34" s="27" t="inlineStr">
        <is>
          <t>15 Low+ / 20 Low</t>
        </is>
      </c>
    </row>
    <row r="35" ht="15" customHeight="1" s="24">
      <c r="A35" s="27" t="n">
        <v>3</v>
      </c>
      <c r="B35" s="26" t="inlineStr">
        <is>
          <t>Mid</t>
        </is>
      </c>
      <c r="C35" s="27" t="inlineStr">
        <is>
          <t>Re-Education Temple</t>
        </is>
      </c>
      <c r="D35" s="27" t="inlineStr">
        <is>
          <t>The Summoner</t>
        </is>
      </c>
      <c r="E35" s="27" t="n">
        <v>110</v>
      </c>
      <c r="F35" s="27" t="n">
        <v>1.35</v>
      </c>
      <c r="G35" s="27">
        <f>ROUND(E35*F35,0)</f>
        <v/>
      </c>
      <c r="H35" s="27" t="n">
        <v>3</v>
      </c>
      <c r="I35" s="27" t="inlineStr">
        <is>
          <t>+3 Enlightenment, -1 Critical Thinking</t>
        </is>
      </c>
      <c r="J35" s="27" t="inlineStr">
        <is>
          <t>Smart Clothes, Enlightenment 25+</t>
        </is>
      </c>
      <c r="K35" s="27" t="inlineStr">
        <is>
          <t>Path 2 complete</t>
        </is>
      </c>
      <c r="L35" s="27" t="inlineStr">
        <is>
          <t>15 Low+ / 20 Low</t>
        </is>
      </c>
    </row>
    <row r="36" ht="15" customHeight="1" s="24">
      <c r="A36" s="27" t="n">
        <v>3</v>
      </c>
      <c r="B36" s="26" t="inlineStr">
        <is>
          <t>Mid</t>
        </is>
      </c>
      <c r="C36" s="27" t="inlineStr">
        <is>
          <t>Regret Burger</t>
        </is>
      </c>
      <c r="D36" s="27" t="inlineStr">
        <is>
          <t>Supervisor</t>
        </is>
      </c>
      <c r="E36" s="27" t="n">
        <v>110</v>
      </c>
      <c r="F36" s="27" t="n">
        <v>1.1</v>
      </c>
      <c r="G36" s="27">
        <f>ROUND(E36*F36,0)</f>
        <v/>
      </c>
      <c r="H36" s="27" t="n">
        <v>3</v>
      </c>
      <c r="I36" s="27" t="inlineStr">
        <is>
          <t>-3 Health, -2 Happiness</t>
        </is>
      </c>
      <c r="J36" s="27" t="inlineStr">
        <is>
          <t>Smart Clothes, Career 15+</t>
        </is>
      </c>
      <c r="K36" s="27" t="inlineStr">
        <is>
          <t>Path 2 complete</t>
        </is>
      </c>
      <c r="L36" s="27" t="inlineStr">
        <is>
          <t>15 Low+ / 20 Low</t>
        </is>
      </c>
    </row>
    <row r="37" ht="15" customHeight="1" s="24">
      <c r="A37" s="27" t="n">
        <v>4</v>
      </c>
      <c r="B37" s="26" t="inlineStr">
        <is>
          <t>Mid+</t>
        </is>
      </c>
      <c r="C37" s="27" t="inlineStr">
        <is>
          <t>Air One Supermarket</t>
        </is>
      </c>
      <c r="D37" s="38" t="inlineStr">
        <is>
          <t>Department Lead</t>
        </is>
      </c>
      <c r="E37" s="27" t="n">
        <v>170</v>
      </c>
      <c r="F37" s="27" t="n">
        <v>1.1</v>
      </c>
      <c r="G37" s="27">
        <f>ROUND(E37*F37,0)</f>
        <v/>
      </c>
      <c r="H37" s="27" t="n">
        <v>3</v>
      </c>
      <c r="I37" s="27" t="inlineStr">
        <is>
          <t>+2 Health, -1 Happiness</t>
        </is>
      </c>
      <c r="J37" s="27" t="inlineStr">
        <is>
          <t>Smart Clothes, Career 30+</t>
        </is>
      </c>
      <c r="K37" s="27" t="inlineStr">
        <is>
          <t>Path 3 complete</t>
        </is>
      </c>
      <c r="L37" s="27" t="inlineStr">
        <is>
          <t>20 Mid clicks</t>
        </is>
      </c>
    </row>
    <row r="38" ht="15" customHeight="1" s="24">
      <c r="A38" s="27" t="n">
        <v>4</v>
      </c>
      <c r="B38" s="26" t="inlineStr">
        <is>
          <t>Mid+</t>
        </is>
      </c>
      <c r="C38" s="27" t="inlineStr">
        <is>
          <t>Bad Decisions Club</t>
        </is>
      </c>
      <c r="D38" s="27" t="inlineStr">
        <is>
          <t>Bartender</t>
        </is>
      </c>
      <c r="E38" s="27" t="n">
        <v>170</v>
      </c>
      <c r="F38" s="27" t="n">
        <v>1.2</v>
      </c>
      <c r="G38" s="27">
        <f>ROUND(E38*F38,0)</f>
        <v/>
      </c>
      <c r="H38" s="27" t="n">
        <v>3</v>
      </c>
      <c r="I38" s="27" t="inlineStr">
        <is>
          <t>+2 Connection, +2 Coolness, -3 Health</t>
        </is>
      </c>
      <c r="J38" s="27" t="inlineStr">
        <is>
          <t>Dressy Clothes, Coolness 30+</t>
        </is>
      </c>
      <c r="K38" s="27" t="inlineStr">
        <is>
          <t>Path 3 complete</t>
        </is>
      </c>
      <c r="L38" s="27" t="inlineStr">
        <is>
          <t>20 Mid clicks</t>
        </is>
      </c>
    </row>
    <row r="39" ht="15" customHeight="1" s="24">
      <c r="A39" s="27" t="n">
        <v>4</v>
      </c>
      <c r="B39" s="26" t="inlineStr">
        <is>
          <t>Mid+</t>
        </is>
      </c>
      <c r="C39" s="27" t="inlineStr">
        <is>
          <t>Bro Science Gym</t>
        </is>
      </c>
      <c r="D39" s="38" t="inlineStr">
        <is>
          <t>Head Trainer</t>
        </is>
      </c>
      <c r="E39" s="27" t="n">
        <v>170</v>
      </c>
      <c r="F39" s="27" t="n">
        <v>1.2</v>
      </c>
      <c r="G39" s="27">
        <f>ROUND(E39*F39,0)</f>
        <v/>
      </c>
      <c r="H39" s="27" t="n">
        <v>3</v>
      </c>
      <c r="I39" s="27" t="inlineStr">
        <is>
          <t>+4 Health, +2 Coolness, -1 Happiness</t>
        </is>
      </c>
      <c r="J39" s="27" t="inlineStr">
        <is>
          <t>Smart Clothes, Health 35+</t>
        </is>
      </c>
      <c r="K39" s="27" t="inlineStr">
        <is>
          <t>Path 3 complete</t>
        </is>
      </c>
      <c r="L39" s="27" t="inlineStr">
        <is>
          <t>20 Mid clicks</t>
        </is>
      </c>
    </row>
    <row r="40" ht="15" customHeight="1" s="24">
      <c r="A40" s="27" t="n">
        <v>4</v>
      </c>
      <c r="B40" s="26" t="inlineStr">
        <is>
          <t>Mid+</t>
        </is>
      </c>
      <c r="C40" s="27" t="inlineStr">
        <is>
          <t>Corporate Soul Exchange</t>
        </is>
      </c>
      <c r="D40" s="38" t="inlineStr">
        <is>
          <t>Project Manager</t>
        </is>
      </c>
      <c r="E40" s="27" t="n">
        <v>170</v>
      </c>
      <c r="F40" s="27" t="n">
        <v>1</v>
      </c>
      <c r="G40" s="27">
        <f>ROUND(E40*F40,0)</f>
        <v/>
      </c>
      <c r="H40" s="27" t="n">
        <v>3</v>
      </c>
      <c r="I40" s="27" t="inlineStr">
        <is>
          <t>+1 Critical Thinking, -3 Happiness</t>
        </is>
      </c>
      <c r="J40" s="27" t="inlineStr">
        <is>
          <t>Smart Clothes, Career 30+</t>
        </is>
      </c>
      <c r="K40" s="27" t="inlineStr">
        <is>
          <t>Path 3 complete</t>
        </is>
      </c>
      <c r="L40" s="27" t="inlineStr">
        <is>
          <t>20 Mid clicks</t>
        </is>
      </c>
    </row>
    <row r="41" ht="15" customHeight="1" s="24">
      <c r="A41" s="27" t="n">
        <v>4</v>
      </c>
      <c r="B41" s="26" t="inlineStr">
        <is>
          <t>Mid+</t>
        </is>
      </c>
      <c r="C41" s="27" t="inlineStr">
        <is>
          <t>Debtstreet Capital</t>
        </is>
      </c>
      <c r="D41" s="38" t="inlineStr">
        <is>
          <t>Portfolio Analyst</t>
        </is>
      </c>
      <c r="E41" s="27" t="n">
        <v>170</v>
      </c>
      <c r="F41" s="27" t="n">
        <v>1</v>
      </c>
      <c r="G41" s="27">
        <f>ROUND(E41*F41,0)</f>
        <v/>
      </c>
      <c r="H41" s="27" t="n">
        <v>3</v>
      </c>
      <c r="I41" s="27" t="inlineStr">
        <is>
          <t>+2 Critical Thinking, -2 Happiness</t>
        </is>
      </c>
      <c r="J41" s="27" t="inlineStr">
        <is>
          <t>Smart Clothes, Critical Thinking 35+</t>
        </is>
      </c>
      <c r="K41" s="27" t="inlineStr">
        <is>
          <t>Path 3 complete</t>
        </is>
      </c>
      <c r="L41" s="27" t="inlineStr">
        <is>
          <t>20 Mid clicks</t>
        </is>
      </c>
    </row>
    <row r="42" ht="15" customHeight="1" s="24">
      <c r="A42" s="27" t="n">
        <v>4</v>
      </c>
      <c r="B42" s="26" t="inlineStr">
        <is>
          <t>Mid+</t>
        </is>
      </c>
      <c r="C42" s="27" t="inlineStr">
        <is>
          <t>Emotional Baggage Airport</t>
        </is>
      </c>
      <c r="D42" s="38" t="inlineStr">
        <is>
          <t>Gate Supervisor</t>
        </is>
      </c>
      <c r="E42" s="27" t="n">
        <v>170</v>
      </c>
      <c r="F42" s="27" t="n">
        <v>1.35</v>
      </c>
      <c r="G42" s="27">
        <f>ROUND(E42*F42,0)</f>
        <v/>
      </c>
      <c r="H42" s="27" t="n">
        <v>3</v>
      </c>
      <c r="I42" s="27" t="inlineStr">
        <is>
          <t>+1 Connection, -3 Happiness</t>
        </is>
      </c>
      <c r="J42" s="27" t="inlineStr">
        <is>
          <t>Smart Clothes, Career 30+</t>
        </is>
      </c>
      <c r="K42" s="27" t="inlineStr">
        <is>
          <t>Path 3 complete</t>
        </is>
      </c>
      <c r="L42" s="27" t="inlineStr">
        <is>
          <t>20 Mid clicks</t>
        </is>
      </c>
    </row>
    <row r="43" ht="15" customHeight="1" s="24">
      <c r="A43" s="27" t="n">
        <v>4</v>
      </c>
      <c r="B43" s="26" t="inlineStr">
        <is>
          <t>Mid+</t>
        </is>
      </c>
      <c r="C43" s="27" t="inlineStr">
        <is>
          <t>Ethical Pet Shop</t>
        </is>
      </c>
      <c r="D43" s="27" t="inlineStr">
        <is>
          <t>Pet Whisperer</t>
        </is>
      </c>
      <c r="E43" s="27" t="n">
        <v>170</v>
      </c>
      <c r="F43" s="27" t="n">
        <v>1.2</v>
      </c>
      <c r="G43" s="27">
        <f>ROUND(E43*F43,0)</f>
        <v/>
      </c>
      <c r="H43" s="27" t="n">
        <v>3</v>
      </c>
      <c r="I43" s="27" t="inlineStr">
        <is>
          <t>+3 Pet Happiness, +1 Connection</t>
        </is>
      </c>
      <c r="J43" s="27" t="inlineStr">
        <is>
          <t>Smart Clothes, Enlightenment 25+</t>
        </is>
      </c>
      <c r="K43" s="27" t="inlineStr">
        <is>
          <t>Path 3 complete</t>
        </is>
      </c>
      <c r="L43" s="27" t="inlineStr">
        <is>
          <t>20 Mid clicks</t>
        </is>
      </c>
    </row>
    <row r="44" ht="15" customHeight="1" s="24">
      <c r="A44" s="27" t="n">
        <v>4</v>
      </c>
      <c r="B44" s="26" t="inlineStr">
        <is>
          <t>Mid+</t>
        </is>
      </c>
      <c r="C44" s="27" t="inlineStr">
        <is>
          <t>High IQ University</t>
        </is>
      </c>
      <c r="D44" s="38" t="inlineStr">
        <is>
          <t>Lecturer</t>
        </is>
      </c>
      <c r="E44" s="27" t="n">
        <v>170</v>
      </c>
      <c r="F44" s="27" t="n">
        <v>1.1</v>
      </c>
      <c r="G44" s="27">
        <f>ROUND(E44*F44,0)</f>
        <v/>
      </c>
      <c r="H44" s="27" t="n">
        <v>3</v>
      </c>
      <c r="I44" s="27" t="inlineStr">
        <is>
          <t>+4 Critical Thinking, -1 Happiness</t>
        </is>
      </c>
      <c r="J44" s="27" t="inlineStr">
        <is>
          <t>Smart Clothes, Critical Thinking 40+</t>
        </is>
      </c>
      <c r="K44" s="27" t="inlineStr">
        <is>
          <t>Path 3 complete</t>
        </is>
      </c>
      <c r="L44" s="27" t="inlineStr">
        <is>
          <t>20 Mid clicks</t>
        </is>
      </c>
    </row>
    <row r="45" ht="15" customHeight="1" s="24">
      <c r="A45" s="27" t="n">
        <v>4</v>
      </c>
      <c r="B45" s="26" t="inlineStr">
        <is>
          <t>Mid+</t>
        </is>
      </c>
      <c r="C45" s="27" t="inlineStr">
        <is>
          <t>Mall</t>
        </is>
      </c>
      <c r="D45" s="38" t="inlineStr">
        <is>
          <t>Assistant Mall Manager</t>
        </is>
      </c>
      <c r="E45" s="27" t="n">
        <v>170</v>
      </c>
      <c r="F45" s="27" t="n">
        <v>1</v>
      </c>
      <c r="G45" s="27">
        <f>ROUND(E45*F45,0)</f>
        <v/>
      </c>
      <c r="H45" s="27" t="n">
        <v>3</v>
      </c>
      <c r="I45" s="27" t="inlineStr">
        <is>
          <t>+2 Coolness, -1 Happiness</t>
        </is>
      </c>
      <c r="J45" s="27" t="inlineStr">
        <is>
          <t>Smart Clothes, Career 35+</t>
        </is>
      </c>
      <c r="K45" s="27" t="inlineStr">
        <is>
          <t>Path 3 complete</t>
        </is>
      </c>
      <c r="L45" s="27" t="inlineStr">
        <is>
          <t>20 Mid clicks</t>
        </is>
      </c>
    </row>
    <row r="46" ht="15" customHeight="1" s="24">
      <c r="A46" s="27" t="n">
        <v>4</v>
      </c>
      <c r="B46" s="26" t="inlineStr">
        <is>
          <t>Mid+</t>
        </is>
      </c>
      <c r="C46" s="27" t="inlineStr">
        <is>
          <t>Re-Education Temple</t>
        </is>
      </c>
      <c r="D46" s="38" t="inlineStr">
        <is>
          <t>The Deacon</t>
        </is>
      </c>
      <c r="E46" s="27" t="n">
        <v>170</v>
      </c>
      <c r="F46" s="27" t="n">
        <v>1.35</v>
      </c>
      <c r="G46" s="27">
        <f>ROUND(E46*F46,0)</f>
        <v/>
      </c>
      <c r="H46" s="27" t="n">
        <v>3</v>
      </c>
      <c r="I46" s="27" t="inlineStr">
        <is>
          <t>+4 Enlightenment, -2 Critical Thinking</t>
        </is>
      </c>
      <c r="J46" s="27" t="inlineStr">
        <is>
          <t>Smart Clothes, Enlightenment 35+</t>
        </is>
      </c>
      <c r="K46" s="27" t="inlineStr">
        <is>
          <t>Path 3 complete</t>
        </is>
      </c>
      <c r="L46" s="27" t="inlineStr">
        <is>
          <t>20 Mid clicks</t>
        </is>
      </c>
    </row>
    <row r="47" ht="15" customHeight="1" s="24">
      <c r="A47" s="27" t="n">
        <v>4</v>
      </c>
      <c r="B47" s="26" t="inlineStr">
        <is>
          <t>Mid+</t>
        </is>
      </c>
      <c r="C47" s="27" t="inlineStr">
        <is>
          <t>Regret Burger</t>
        </is>
      </c>
      <c r="D47" s="27" t="inlineStr">
        <is>
          <t>Restaurant Manager</t>
        </is>
      </c>
      <c r="E47" s="27" t="n">
        <v>170</v>
      </c>
      <c r="F47" s="27" t="n">
        <v>1.1</v>
      </c>
      <c r="G47" s="27">
        <f>ROUND(E47*F47,0)</f>
        <v/>
      </c>
      <c r="H47" s="27" t="n">
        <v>3</v>
      </c>
      <c r="I47" s="27" t="inlineStr">
        <is>
          <t>-3 Health, -3 Happiness</t>
        </is>
      </c>
      <c r="J47" s="27" t="inlineStr">
        <is>
          <t>Smart Clothes, Career 25+</t>
        </is>
      </c>
      <c r="K47" s="27" t="inlineStr">
        <is>
          <t>Path 3 complete</t>
        </is>
      </c>
      <c r="L47" s="27" t="inlineStr">
        <is>
          <t>20 Mid clicks</t>
        </is>
      </c>
    </row>
    <row r="48" ht="15" customHeight="1" s="24">
      <c r="A48" s="27" t="n">
        <v>5</v>
      </c>
      <c r="B48" s="26" t="inlineStr">
        <is>
          <t>High</t>
        </is>
      </c>
      <c r="C48" s="27" t="inlineStr">
        <is>
          <t>Air One Supermarket</t>
        </is>
      </c>
      <c r="D48" s="27" t="inlineStr">
        <is>
          <t>Store Manager</t>
        </is>
      </c>
      <c r="E48" s="27" t="n">
        <v>260</v>
      </c>
      <c r="F48" s="27" t="n">
        <v>1.1</v>
      </c>
      <c r="G48" s="27">
        <f>ROUND(E48*F48,0)</f>
        <v/>
      </c>
      <c r="H48" s="27" t="n">
        <v>4</v>
      </c>
      <c r="I48" s="27" t="inlineStr">
        <is>
          <t>+3 Health, -2 Happiness</t>
        </is>
      </c>
      <c r="J48" s="27" t="inlineStr">
        <is>
          <t>Business Clothes, Career 35+</t>
        </is>
      </c>
      <c r="K48" s="27" t="inlineStr">
        <is>
          <t>Path 4 complete</t>
        </is>
      </c>
      <c r="L48" s="27" t="inlineStr">
        <is>
          <t>25 Mid+ / 30 Mid</t>
        </is>
      </c>
    </row>
    <row r="49" ht="15" customHeight="1" s="24">
      <c r="A49" s="27" t="n">
        <v>5</v>
      </c>
      <c r="B49" s="26" t="inlineStr">
        <is>
          <t>High</t>
        </is>
      </c>
      <c r="C49" s="27" t="inlineStr">
        <is>
          <t>Bad Decisions Club</t>
        </is>
      </c>
      <c r="D49" s="27" t="inlineStr">
        <is>
          <t>Club Manager</t>
        </is>
      </c>
      <c r="E49" s="27" t="n">
        <v>260</v>
      </c>
      <c r="F49" s="27" t="n">
        <v>1.2</v>
      </c>
      <c r="G49" s="27">
        <f>ROUND(E49*F49,0)</f>
        <v/>
      </c>
      <c r="H49" s="27" t="n">
        <v>4</v>
      </c>
      <c r="I49" s="27" t="inlineStr">
        <is>
          <t>+3 Connection, +3 Coolness, -4 Health, -2 Critical Thinking</t>
        </is>
      </c>
      <c r="J49" s="27" t="inlineStr">
        <is>
          <t>Business Clothes, Career 45+, Coolness 50+</t>
        </is>
      </c>
      <c r="K49" s="27" t="inlineStr">
        <is>
          <t>Path 4 complete</t>
        </is>
      </c>
      <c r="L49" s="27" t="inlineStr">
        <is>
          <t>25 Mid+ / 30 Mid</t>
        </is>
      </c>
    </row>
    <row r="50" ht="15" customHeight="1" s="24">
      <c r="A50" s="27" t="n">
        <v>5</v>
      </c>
      <c r="B50" s="26" t="inlineStr">
        <is>
          <t>High</t>
        </is>
      </c>
      <c r="C50" s="27" t="inlineStr">
        <is>
          <t>Bro Science Gym</t>
        </is>
      </c>
      <c r="D50" s="27" t="inlineStr">
        <is>
          <t>Gym General Manager</t>
        </is>
      </c>
      <c r="E50" s="27" t="n">
        <v>260</v>
      </c>
      <c r="F50" s="27" t="n">
        <v>1.2</v>
      </c>
      <c r="G50" s="27">
        <f>ROUND(E50*F50,0)</f>
        <v/>
      </c>
      <c r="H50" s="27" t="n">
        <v>4</v>
      </c>
      <c r="I50" s="27" t="inlineStr">
        <is>
          <t>+3 Health, +2 Coolness, -3 Happiness</t>
        </is>
      </c>
      <c r="J50" s="27" t="inlineStr">
        <is>
          <t>Business Clothes, Career 45+, Health 40+</t>
        </is>
      </c>
      <c r="K50" s="27" t="inlineStr">
        <is>
          <t>Path 4 complete</t>
        </is>
      </c>
      <c r="L50" s="27" t="inlineStr">
        <is>
          <t>25 Mid+ / 30 Mid</t>
        </is>
      </c>
    </row>
    <row r="51" ht="15" customHeight="1" s="24">
      <c r="A51" s="27" t="n">
        <v>5</v>
      </c>
      <c r="B51" s="26" t="inlineStr">
        <is>
          <t>High</t>
        </is>
      </c>
      <c r="C51" s="27" t="inlineStr">
        <is>
          <t>Corporate Soul Exchange</t>
        </is>
      </c>
      <c r="D51" s="27" t="inlineStr">
        <is>
          <t>Human Resources</t>
        </is>
      </c>
      <c r="E51" s="27" t="n">
        <v>260</v>
      </c>
      <c r="F51" s="27" t="n">
        <v>1</v>
      </c>
      <c r="G51" s="27">
        <f>ROUND(E51*F51,0)</f>
        <v/>
      </c>
      <c r="H51" s="27" t="n">
        <v>4</v>
      </c>
      <c r="I51" s="27" t="inlineStr">
        <is>
          <t>+1 Critical Thinking, -4 Happiness, -2 Connection</t>
        </is>
      </c>
      <c r="J51" s="27" t="inlineStr">
        <is>
          <t>Business Clothes, Career 40+</t>
        </is>
      </c>
      <c r="K51" s="27" t="inlineStr">
        <is>
          <t>Path 4 complete</t>
        </is>
      </c>
      <c r="L51" s="27" t="inlineStr">
        <is>
          <t>25 Mid+ / 30 Mid</t>
        </is>
      </c>
    </row>
    <row r="52" ht="15" customHeight="1" s="24">
      <c r="A52" s="27" t="n">
        <v>5</v>
      </c>
      <c r="B52" s="26" t="inlineStr">
        <is>
          <t>High</t>
        </is>
      </c>
      <c r="C52" s="27" t="inlineStr">
        <is>
          <t>Corporate Soul Exchange</t>
        </is>
      </c>
      <c r="D52" s="27" t="inlineStr">
        <is>
          <t>VP of Marketing</t>
        </is>
      </c>
      <c r="E52" s="27" t="n">
        <v>260</v>
      </c>
      <c r="F52" s="27" t="n">
        <v>1</v>
      </c>
      <c r="G52" s="27">
        <f>ROUND(E52*F52,0)</f>
        <v/>
      </c>
      <c r="H52" s="27" t="n">
        <v>4</v>
      </c>
      <c r="I52" s="27" t="inlineStr">
        <is>
          <t>+2 Connection, +1 Coolness, -5 Happiness</t>
        </is>
      </c>
      <c r="J52" s="27" t="inlineStr">
        <is>
          <t>Business Clothes, Career 55+, Connection 35+</t>
        </is>
      </c>
      <c r="K52" s="27" t="inlineStr">
        <is>
          <t>Path 4 complete</t>
        </is>
      </c>
      <c r="L52" s="27" t="inlineStr">
        <is>
          <t>25 Mid+ / 30 Mid</t>
        </is>
      </c>
    </row>
    <row r="53" ht="15" customHeight="1" s="24">
      <c r="A53" s="27" t="n">
        <v>5</v>
      </c>
      <c r="B53" s="26" t="inlineStr">
        <is>
          <t>High</t>
        </is>
      </c>
      <c r="C53" s="27" t="inlineStr">
        <is>
          <t>Corporate Soul Exchange</t>
        </is>
      </c>
      <c r="D53" s="27" t="inlineStr">
        <is>
          <t>VP of Operations</t>
        </is>
      </c>
      <c r="E53" s="27" t="n">
        <v>260</v>
      </c>
      <c r="F53" s="27" t="n">
        <v>1</v>
      </c>
      <c r="G53" s="27">
        <f>ROUND(E53*F53,0)</f>
        <v/>
      </c>
      <c r="H53" s="27" t="n">
        <v>4</v>
      </c>
      <c r="I53" s="27" t="inlineStr">
        <is>
          <t>+2 Critical Thinking, -5 Health, -4 Happiness</t>
        </is>
      </c>
      <c r="J53" s="27" t="inlineStr">
        <is>
          <t>Business Clothes, Career 55+</t>
        </is>
      </c>
      <c r="K53" s="27" t="inlineStr">
        <is>
          <t>Path 4 complete</t>
        </is>
      </c>
      <c r="L53" s="27" t="inlineStr">
        <is>
          <t>25 Mid+ / 30 Mid</t>
        </is>
      </c>
    </row>
    <row r="54" ht="15" customHeight="1" s="24">
      <c r="A54" s="27" t="n">
        <v>5</v>
      </c>
      <c r="B54" s="26" t="inlineStr">
        <is>
          <t>High</t>
        </is>
      </c>
      <c r="C54" s="27" t="inlineStr">
        <is>
          <t>Debtstreet Capital</t>
        </is>
      </c>
      <c r="D54" s="27" t="inlineStr">
        <is>
          <t>High Net Worth Investor Consultant</t>
        </is>
      </c>
      <c r="E54" s="27" t="n">
        <v>260</v>
      </c>
      <c r="F54" s="27" t="n">
        <v>1</v>
      </c>
      <c r="G54" s="27">
        <f>ROUND(E54*F54,0)</f>
        <v/>
      </c>
      <c r="H54" s="27" t="n">
        <v>4</v>
      </c>
      <c r="I54" s="27" t="inlineStr">
        <is>
          <t>+2 Coolness, +2 Critical Thinking, -3 Enlightenment, -3 Happiness</t>
        </is>
      </c>
      <c r="J54" s="27" t="inlineStr">
        <is>
          <t>Business Clothes, Money 45+, Career 50+</t>
        </is>
      </c>
      <c r="K54" s="27" t="inlineStr">
        <is>
          <t>Path 4 complete</t>
        </is>
      </c>
      <c r="L54" s="27" t="inlineStr">
        <is>
          <t>25 Mid+ / 30 Mid</t>
        </is>
      </c>
    </row>
    <row r="55" ht="15" customHeight="1" s="24">
      <c r="A55" s="27" t="n">
        <v>5</v>
      </c>
      <c r="B55" s="26" t="inlineStr">
        <is>
          <t>High</t>
        </is>
      </c>
      <c r="C55" s="27" t="inlineStr">
        <is>
          <t>Debtstreet Capital</t>
        </is>
      </c>
      <c r="D55" s="27" t="inlineStr">
        <is>
          <t>Mortgage Broker</t>
        </is>
      </c>
      <c r="E55" s="27" t="n">
        <v>260</v>
      </c>
      <c r="F55" s="27" t="n">
        <v>1</v>
      </c>
      <c r="G55" s="27">
        <f>ROUND(E55*F55,0)</f>
        <v/>
      </c>
      <c r="H55" s="27" t="n">
        <v>4</v>
      </c>
      <c r="I55" s="27" t="inlineStr">
        <is>
          <t>+3 Critical Thinking, -2 Enlightenment, -2 Happiness</t>
        </is>
      </c>
      <c r="J55" s="27" t="inlineStr">
        <is>
          <t>Business Clothes, Critical Thinking 45+</t>
        </is>
      </c>
      <c r="K55" s="27" t="inlineStr">
        <is>
          <t>Path 4 complete</t>
        </is>
      </c>
      <c r="L55" s="27" t="inlineStr">
        <is>
          <t>25 Mid+ / 30 Mid</t>
        </is>
      </c>
    </row>
    <row r="56" ht="15" customHeight="1" s="24">
      <c r="A56" s="27" t="n">
        <v>5</v>
      </c>
      <c r="B56" s="26" t="inlineStr">
        <is>
          <t>High</t>
        </is>
      </c>
      <c r="C56" s="27" t="inlineStr">
        <is>
          <t>Emotional Baggage Airport</t>
        </is>
      </c>
      <c r="D56" s="27" t="inlineStr">
        <is>
          <t>Pilot</t>
        </is>
      </c>
      <c r="E56" s="27" t="n">
        <v>260</v>
      </c>
      <c r="F56" s="27" t="n">
        <v>1.35</v>
      </c>
      <c r="G56" s="27">
        <f>ROUND(E56*F56,0)</f>
        <v/>
      </c>
      <c r="H56" s="27" t="n">
        <v>4</v>
      </c>
      <c r="I56" s="27" t="inlineStr">
        <is>
          <t>+2 Happiness, +2 Coolness, -4 Health</t>
        </is>
      </c>
      <c r="J56" s="27" t="inlineStr">
        <is>
          <t>Business Clothes, Career 55+, Critical Thinking 45+</t>
        </is>
      </c>
      <c r="K56" s="27" t="inlineStr">
        <is>
          <t>Path 4 complete</t>
        </is>
      </c>
      <c r="L56" s="27" t="inlineStr">
        <is>
          <t>25 Mid+ / 30 Mid</t>
        </is>
      </c>
    </row>
    <row r="57" ht="15" customHeight="1" s="24">
      <c r="A57" s="27" t="n">
        <v>5</v>
      </c>
      <c r="B57" s="26" t="inlineStr">
        <is>
          <t>High</t>
        </is>
      </c>
      <c r="C57" s="27" t="inlineStr">
        <is>
          <t>Ethical Pet Shop</t>
        </is>
      </c>
      <c r="D57" s="27" t="inlineStr">
        <is>
          <t>Veterinarian</t>
        </is>
      </c>
      <c r="E57" s="27" t="n">
        <v>260</v>
      </c>
      <c r="F57" s="27" t="n">
        <v>1.2</v>
      </c>
      <c r="G57" s="27">
        <f>ROUND(E57*F57,0)</f>
        <v/>
      </c>
      <c r="H57" s="27" t="n">
        <v>4</v>
      </c>
      <c r="I57" s="27" t="inlineStr">
        <is>
          <t>+4 Pet Health, +2 Connection, -2 Happiness</t>
        </is>
      </c>
      <c r="J57" s="27" t="inlineStr">
        <is>
          <t>Business Clothes, Career 50+, Critical Thinking 55+</t>
        </is>
      </c>
      <c r="K57" s="27" t="inlineStr">
        <is>
          <t>Path 4 complete</t>
        </is>
      </c>
      <c r="L57" s="27" t="inlineStr">
        <is>
          <t>25 Mid+ / 30 Mid</t>
        </is>
      </c>
    </row>
    <row r="58" ht="15" customHeight="1" s="24">
      <c r="A58" s="27" t="n">
        <v>5</v>
      </c>
      <c r="B58" s="26" t="inlineStr">
        <is>
          <t>High</t>
        </is>
      </c>
      <c r="C58" s="27" t="inlineStr">
        <is>
          <t>High IQ University</t>
        </is>
      </c>
      <c r="D58" s="27" t="inlineStr">
        <is>
          <t>Professor</t>
        </is>
      </c>
      <c r="E58" s="27" t="n">
        <v>260</v>
      </c>
      <c r="F58" s="27" t="n">
        <v>1.1</v>
      </c>
      <c r="G58" s="27">
        <f>ROUND(E58*F58,0)</f>
        <v/>
      </c>
      <c r="H58" s="27" t="n">
        <v>4</v>
      </c>
      <c r="I58" s="27" t="inlineStr">
        <is>
          <t>+5 Critical Thinking, -3 Happiness</t>
        </is>
      </c>
      <c r="J58" s="27" t="inlineStr">
        <is>
          <t>Business Clothes, Critical Thinking 60+</t>
        </is>
      </c>
      <c r="K58" s="27" t="inlineStr">
        <is>
          <t>Path 4 complete</t>
        </is>
      </c>
      <c r="L58" s="27" t="inlineStr">
        <is>
          <t>25 Mid+ / 30 Mid</t>
        </is>
      </c>
    </row>
    <row r="59" ht="15" customHeight="1" s="24">
      <c r="A59" s="27" t="n">
        <v>5</v>
      </c>
      <c r="B59" s="26" t="inlineStr">
        <is>
          <t>High</t>
        </is>
      </c>
      <c r="C59" s="27" t="inlineStr">
        <is>
          <t>Mall</t>
        </is>
      </c>
      <c r="D59" s="27" t="inlineStr">
        <is>
          <t>Mall Director</t>
        </is>
      </c>
      <c r="E59" s="27" t="n">
        <v>260</v>
      </c>
      <c r="F59" s="27" t="n">
        <v>1</v>
      </c>
      <c r="G59" s="27">
        <f>ROUND(E59*F59,0)</f>
        <v/>
      </c>
      <c r="H59" s="27" t="n">
        <v>4</v>
      </c>
      <c r="I59" s="27" t="inlineStr">
        <is>
          <t>+3 Coolness, +2 Happiness, -3 Critical Thinking</t>
        </is>
      </c>
      <c r="J59" s="27" t="inlineStr">
        <is>
          <t>Business Clothes, Career 55+, Coolness 45+</t>
        </is>
      </c>
      <c r="K59" s="27" t="inlineStr">
        <is>
          <t>Path 4 complete</t>
        </is>
      </c>
      <c r="L59" s="27" t="inlineStr">
        <is>
          <t>25 Mid+ / 30 Mid</t>
        </is>
      </c>
    </row>
    <row r="60" ht="15" customHeight="1" s="24">
      <c r="A60" s="27" t="n">
        <v>5</v>
      </c>
      <c r="B60" s="26" t="inlineStr">
        <is>
          <t>High</t>
        </is>
      </c>
      <c r="C60" s="27" t="inlineStr">
        <is>
          <t>Re-Education Temple</t>
        </is>
      </c>
      <c r="D60" s="27" t="inlineStr">
        <is>
          <t>The Cardinal</t>
        </is>
      </c>
      <c r="E60" s="27" t="n">
        <v>260</v>
      </c>
      <c r="F60" s="27" t="n">
        <v>1.35</v>
      </c>
      <c r="G60" s="27">
        <f>ROUND(E60*F60,0)</f>
        <v/>
      </c>
      <c r="H60" s="27" t="n">
        <v>4</v>
      </c>
      <c r="I60" s="27" t="inlineStr">
        <is>
          <t>+5 Enlightenment, +1 Connection, -3 Critical Thinking</t>
        </is>
      </c>
      <c r="J60" s="27" t="inlineStr">
        <is>
          <t>Business Clothes, Enlightenment 55+</t>
        </is>
      </c>
      <c r="K60" s="27" t="inlineStr">
        <is>
          <t>Path 4 complete</t>
        </is>
      </c>
      <c r="L60" s="27" t="inlineStr">
        <is>
          <t>25 Mid+ / 30 Mid</t>
        </is>
      </c>
    </row>
    <row r="61" ht="15" customHeight="1" s="24">
      <c r="A61" s="27" t="n">
        <v>5</v>
      </c>
      <c r="B61" s="26" t="inlineStr">
        <is>
          <t>High</t>
        </is>
      </c>
      <c r="C61" s="27" t="inlineStr">
        <is>
          <t>Regret Burger</t>
        </is>
      </c>
      <c r="D61" s="27" t="inlineStr">
        <is>
          <t>Franchise Manager</t>
        </is>
      </c>
      <c r="E61" s="27" t="n">
        <v>260</v>
      </c>
      <c r="F61" s="27" t="n">
        <v>1.1</v>
      </c>
      <c r="G61" s="27">
        <f>ROUND(E61*F61,0)</f>
        <v/>
      </c>
      <c r="H61" s="27" t="n">
        <v>4</v>
      </c>
      <c r="I61" s="27" t="inlineStr">
        <is>
          <t>-5 Health, -4 Happiness</t>
        </is>
      </c>
      <c r="J61" s="27" t="inlineStr">
        <is>
          <t>Business Clothes, Career 45+</t>
        </is>
      </c>
      <c r="K61" s="27" t="inlineStr">
        <is>
          <t>Path 4 complete</t>
        </is>
      </c>
      <c r="L61" s="27" t="inlineStr">
        <is>
          <t>25 Mid+ / 30 Mid</t>
        </is>
      </c>
    </row>
    <row r="62" ht="15" customHeight="1" s="24">
      <c r="A62" s="27" t="n">
        <v>6</v>
      </c>
      <c r="B62" s="26" t="inlineStr">
        <is>
          <t>Max</t>
        </is>
      </c>
      <c r="C62" s="27" t="inlineStr">
        <is>
          <t>Air One Supermarket</t>
        </is>
      </c>
      <c r="D62" s="27" t="inlineStr">
        <is>
          <t>Chief Longevity Officer</t>
        </is>
      </c>
      <c r="E62" s="27" t="n">
        <v>400</v>
      </c>
      <c r="F62" s="27" t="n">
        <v>1.1</v>
      </c>
      <c r="G62" s="27">
        <f>ROUND(E62*F62,0)</f>
        <v/>
      </c>
      <c r="H62" s="27" t="n">
        <v>5</v>
      </c>
      <c r="I62" s="27" t="inlineStr">
        <is>
          <t>+4 Health, -4 Happiness</t>
        </is>
      </c>
      <c r="J62" s="27" t="inlineStr">
        <is>
          <t>Business Clothes, Career 65+, Critical Thinking 50+</t>
        </is>
      </c>
      <c r="K62" s="27" t="inlineStr">
        <is>
          <t>Path 5 complete</t>
        </is>
      </c>
      <c r="L62" s="27" t="inlineStr">
        <is>
          <t>40 High clicks</t>
        </is>
      </c>
    </row>
    <row r="63" ht="15" customHeight="1" s="24">
      <c r="A63" s="27" t="n">
        <v>6</v>
      </c>
      <c r="B63" s="26" t="inlineStr">
        <is>
          <t>Max</t>
        </is>
      </c>
      <c r="C63" s="27" t="inlineStr">
        <is>
          <t>Bro Science Gym</t>
        </is>
      </c>
      <c r="D63" s="27" t="inlineStr">
        <is>
          <t>Treninator Bootcamp Director</t>
        </is>
      </c>
      <c r="E63" s="27" t="n">
        <v>400</v>
      </c>
      <c r="F63" s="27" t="n">
        <v>1.2</v>
      </c>
      <c r="G63" s="27">
        <f>ROUND(E63*F63,0)</f>
        <v/>
      </c>
      <c r="H63" s="27" t="n">
        <v>5</v>
      </c>
      <c r="I63" s="27" t="inlineStr">
        <is>
          <t>+5 Health, +3 Coolness, -5 Happiness</t>
        </is>
      </c>
      <c r="J63" s="27" t="inlineStr">
        <is>
          <t>Business Clothes, Career 65+, Health 70+, Coolness 40+</t>
        </is>
      </c>
      <c r="K63" s="27" t="inlineStr">
        <is>
          <t>Path 5 complete</t>
        </is>
      </c>
      <c r="L63" s="27" t="inlineStr">
        <is>
          <t>40 High clicks</t>
        </is>
      </c>
    </row>
    <row r="64" ht="15" customHeight="1" s="24">
      <c r="A64" s="27" t="n">
        <v>6</v>
      </c>
      <c r="B64" s="26" t="inlineStr">
        <is>
          <t>Max</t>
        </is>
      </c>
      <c r="C64" s="27" t="inlineStr">
        <is>
          <t>Corporate Soul Exchange</t>
        </is>
      </c>
      <c r="D64" s="27" t="inlineStr">
        <is>
          <t>Chief Executive Officer</t>
        </is>
      </c>
      <c r="E64" s="27" t="n">
        <v>400</v>
      </c>
      <c r="F64" s="27" t="n">
        <v>1</v>
      </c>
      <c r="G64" s="27">
        <f>ROUND(E64*F64,0)</f>
        <v/>
      </c>
      <c r="H64" s="27" t="n">
        <v>5</v>
      </c>
      <c r="I64" s="27" t="inlineStr">
        <is>
          <t>+3 Career bonus, -8 Happiness, -6 Health, -4 Connection</t>
        </is>
      </c>
      <c r="J64" s="27" t="inlineStr">
        <is>
          <t>Business Clothes, Computer, Career 90+, Critical Thinking 70+</t>
        </is>
      </c>
      <c r="K64" s="27" t="inlineStr">
        <is>
          <t>Path 5 complete</t>
        </is>
      </c>
      <c r="L64" s="27" t="inlineStr">
        <is>
          <t>40 High clicks</t>
        </is>
      </c>
    </row>
    <row r="65" ht="15" customHeight="1" s="24">
      <c r="A65" s="27" t="n">
        <v>6</v>
      </c>
      <c r="B65" s="26" t="inlineStr">
        <is>
          <t>Max</t>
        </is>
      </c>
      <c r="C65" s="27" t="inlineStr">
        <is>
          <t>Corporate Soul Exchange</t>
        </is>
      </c>
      <c r="D65" s="27" t="inlineStr">
        <is>
          <t>Chief Technology Officer</t>
        </is>
      </c>
      <c r="E65" s="27" t="n">
        <v>400</v>
      </c>
      <c r="F65" s="27" t="n">
        <v>1</v>
      </c>
      <c r="G65" s="27">
        <f>ROUND(E65*F65,0)</f>
        <v/>
      </c>
      <c r="H65" s="27" t="n">
        <v>5</v>
      </c>
      <c r="I65" s="27" t="inlineStr">
        <is>
          <t>+3 Critical Thinking, -6 Happiness, -4 Health</t>
        </is>
      </c>
      <c r="J65" s="27" t="inlineStr">
        <is>
          <t>Business Clothes, Computer, Career 75+, Critical Thinking 60+</t>
        </is>
      </c>
      <c r="K65" s="27" t="inlineStr">
        <is>
          <t>Path 5 complete</t>
        </is>
      </c>
      <c r="L65" s="27" t="inlineStr">
        <is>
          <t>40 High clicks</t>
        </is>
      </c>
    </row>
    <row r="66" ht="15" customHeight="1" s="24">
      <c r="A66" s="27" t="n">
        <v>6</v>
      </c>
      <c r="B66" s="26" t="inlineStr">
        <is>
          <t>Max</t>
        </is>
      </c>
      <c r="C66" s="27" t="inlineStr">
        <is>
          <t>Debtstreet Capital</t>
        </is>
      </c>
      <c r="D66" s="27" t="inlineStr">
        <is>
          <t>Chief Financial Officer</t>
        </is>
      </c>
      <c r="E66" s="27" t="n">
        <v>400</v>
      </c>
      <c r="F66" s="27" t="n">
        <v>1</v>
      </c>
      <c r="G66" s="27">
        <f>ROUND(E66*F66,0)</f>
        <v/>
      </c>
      <c r="H66" s="27" t="n">
        <v>5</v>
      </c>
      <c r="I66" s="27" t="inlineStr">
        <is>
          <t>+4 Critical Thinking, -5 Happiness, -4 Connection</t>
        </is>
      </c>
      <c r="J66" s="27" t="inlineStr">
        <is>
          <t>Business Clothes, Computer, Money 75+, Career 70+</t>
        </is>
      </c>
      <c r="K66" s="27" t="inlineStr">
        <is>
          <t>Path 5 complete</t>
        </is>
      </c>
      <c r="L66" s="27" t="inlineStr">
        <is>
          <t>40 High clicks</t>
        </is>
      </c>
    </row>
    <row r="67" ht="15" customHeight="1" s="24">
      <c r="A67" s="27" t="n">
        <v>6</v>
      </c>
      <c r="B67" s="26" t="inlineStr">
        <is>
          <t>Max</t>
        </is>
      </c>
      <c r="C67" s="27" t="inlineStr">
        <is>
          <t>Debtstreet Capital</t>
        </is>
      </c>
      <c r="D67" s="27" t="inlineStr">
        <is>
          <t>Wolf of Debtstreet</t>
        </is>
      </c>
      <c r="E67" s="27" t="n">
        <v>400</v>
      </c>
      <c r="F67" s="27" t="n">
        <v>1</v>
      </c>
      <c r="G67" s="27">
        <f>ROUND(E67*F67,0)</f>
        <v/>
      </c>
      <c r="H67" s="27" t="n">
        <v>5</v>
      </c>
      <c r="I67" s="27" t="inlineStr">
        <is>
          <t>+4 Coolness, +2 Critical Thinking, -6 Enlightenment, -6 Happiness</t>
        </is>
      </c>
      <c r="J67" s="27" t="inlineStr">
        <is>
          <t>Business Clothes, Money 90+, Critical Thinking 70+</t>
        </is>
      </c>
      <c r="K67" s="27" t="inlineStr">
        <is>
          <t>Path 5 complete</t>
        </is>
      </c>
      <c r="L67" s="27" t="inlineStr">
        <is>
          <t>40 High clicks</t>
        </is>
      </c>
    </row>
    <row r="68" ht="15" customHeight="1" s="24">
      <c r="A68" s="27" t="n">
        <v>6</v>
      </c>
      <c r="B68" s="26" t="inlineStr">
        <is>
          <t>Max</t>
        </is>
      </c>
      <c r="C68" s="27" t="inlineStr">
        <is>
          <t>Emotional Baggage Airport</t>
        </is>
      </c>
      <c r="D68" s="27" t="inlineStr">
        <is>
          <t>Airport Director</t>
        </is>
      </c>
      <c r="E68" s="27" t="n">
        <v>400</v>
      </c>
      <c r="F68" s="27" t="n">
        <v>1.35</v>
      </c>
      <c r="G68" s="27">
        <f>ROUND(E68*F68,0)</f>
        <v/>
      </c>
      <c r="H68" s="27" t="n">
        <v>5</v>
      </c>
      <c r="I68" s="27" t="inlineStr">
        <is>
          <t>+3 Connection, +2 Happiness, -5 Health</t>
        </is>
      </c>
      <c r="J68" s="27" t="inlineStr">
        <is>
          <t>Business Clothes, Career 80+, Critical Thinking 60+</t>
        </is>
      </c>
      <c r="K68" s="27" t="inlineStr">
        <is>
          <t>Path 5 complete</t>
        </is>
      </c>
      <c r="L68" s="27" t="inlineStr">
        <is>
          <t>40 High clicks</t>
        </is>
      </c>
    </row>
    <row r="69" ht="15" customHeight="1" s="24">
      <c r="A69" s="27" t="n">
        <v>6</v>
      </c>
      <c r="B69" s="26" t="inlineStr">
        <is>
          <t>Max</t>
        </is>
      </c>
      <c r="C69" s="27" t="inlineStr">
        <is>
          <t>High IQ University</t>
        </is>
      </c>
      <c r="D69" s="27" t="inlineStr">
        <is>
          <t>The Dean</t>
        </is>
      </c>
      <c r="E69" s="27" t="n">
        <v>400</v>
      </c>
      <c r="F69" s="27" t="n">
        <v>1.1</v>
      </c>
      <c r="G69" s="27">
        <f>ROUND(E69*F69,0)</f>
        <v/>
      </c>
      <c r="H69" s="27" t="n">
        <v>5</v>
      </c>
      <c r="I69" s="27" t="inlineStr">
        <is>
          <t>+5 Critical Thinking, +2 Connection, -5 Happiness</t>
        </is>
      </c>
      <c r="J69" s="27" t="inlineStr">
        <is>
          <t>Business Clothes, Career 75+, Critical Thinking 85+</t>
        </is>
      </c>
      <c r="K69" s="27" t="inlineStr">
        <is>
          <t>Path 5 complete</t>
        </is>
      </c>
      <c r="L69" s="27" t="inlineStr">
        <is>
          <t>40 High clicks</t>
        </is>
      </c>
    </row>
    <row r="70" ht="15" customHeight="1" s="24">
      <c r="A70" s="27" t="n">
        <v>6</v>
      </c>
      <c r="B70" s="26" t="inlineStr">
        <is>
          <t>Max</t>
        </is>
      </c>
      <c r="C70" s="27" t="inlineStr">
        <is>
          <t>Re-Education Temple</t>
        </is>
      </c>
      <c r="D70" s="27" t="inlineStr">
        <is>
          <t>The Messiah</t>
        </is>
      </c>
      <c r="E70" s="27" t="n">
        <v>400</v>
      </c>
      <c r="F70" s="27" t="n">
        <v>1.35</v>
      </c>
      <c r="G70" s="27">
        <f>ROUND(E70*F70,0)</f>
        <v/>
      </c>
      <c r="H70" s="27" t="n">
        <v>5</v>
      </c>
      <c r="I70" s="27" t="inlineStr">
        <is>
          <t>+7 Enlightenment, +2 Connection, -5 Critical Thinking</t>
        </is>
      </c>
      <c r="J70" s="27" t="inlineStr">
        <is>
          <t>Business Clothes, Enlightenment 90+, Career 70+</t>
        </is>
      </c>
      <c r="K70" s="27" t="inlineStr">
        <is>
          <t>Path 5 complete</t>
        </is>
      </c>
      <c r="L70" s="27" t="inlineStr">
        <is>
          <t>40 High clicks</t>
        </is>
      </c>
    </row>
    <row r="72" ht="45" customHeight="1" s="24">
      <c r="A72" s="26" t="inlineStr">
        <is>
          <t>NEW IN v6 (highlighted rows)</t>
        </is>
      </c>
      <c r="B72" s="30" t="inlineStr">
        <is>
          <t>Twenty jobs were added to fill the empty Low+ and Mid+ rungs. In v5 the Low+ tier contained exactly one job in the entire game (Regret Burger Cashier) and Mid+ contained three, so completing Path 1 or Path 3 unlocked almost nothing. These rows can be deleted without breaking any other system.</t>
        </is>
      </c>
    </row>
    <row r="73" ht="45" customHeight="1" s="24">
      <c r="A73" s="26" t="inlineStr">
        <is>
          <t>Sort order</t>
        </is>
      </c>
      <c r="B73" s="30" t="inlineStr">
        <is>
          <t>Tier Rank 1-6 then building name. Keep this order in the job board UI. Group headers read LOW / LOW+ / MID / MID+ / HIGH / MAX.</t>
        </is>
      </c>
    </row>
    <row r="74" ht="45" customHeight="1" s="24">
      <c r="A74" s="26" t="inlineStr">
        <is>
          <t>Job board UI</t>
        </is>
      </c>
      <c r="B74" s="30" t="inlineStr">
        <is>
          <t>Show all six tier groups at all times. Locked tiers stay visible and greyed, with the exact reason on the row: "Needs Path 2 (College Diploma)" or "Needs 4 more Low+ clicks" or "Needs Smart Clothes". Never hide a job the player cannot take yet — seeing the ladder is the point of the re-order.</t>
        </is>
      </c>
    </row>
    <row r="75" ht="45" customHeight="1" s="24">
      <c r="A75" s="26" t="inlineStr">
        <is>
          <t>Pay</t>
        </is>
      </c>
      <c r="B75" s="30" t="inlineStr">
        <is>
          <t>Pay per click = ROUND(tier pay x building Money Multiplier). Tier pay scales with B (Medium x2.5, Long x3.5); the multiplier does not scale.</t>
        </is>
      </c>
    </row>
    <row r="76" ht="45" customHeight="1" s="24">
      <c r="A76" s="26" t="inlineStr">
        <is>
          <t>Career</t>
        </is>
      </c>
      <c r="B76" s="30" t="inlineStr">
        <is>
          <t>Career gain per work click comes from this sheet ONLY. The Work rows in Actions_Master no longer grant Career or Money — that was a double-count. Career gain is then subject to the per-turn diminishing-returns rule in Settings.</t>
        </is>
      </c>
    </row>
  </sheetData>
  <mergeCells count="6">
    <mergeCell ref="B75:L75"/>
    <mergeCell ref="B73:L73"/>
    <mergeCell ref="B74:L74"/>
    <mergeCell ref="A1:L1"/>
    <mergeCell ref="B72:L72"/>
    <mergeCell ref="B76:L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3" min="1" max="2"/>
    <col width="28" customWidth="1" style="23" min="3" max="3"/>
    <col width="16" customWidth="1" style="23" min="4" max="6"/>
  </cols>
  <sheetData>
    <row r="1" ht="15" customHeight="1" s="24">
      <c r="A1" s="31" t="inlineStr">
        <is>
          <t>Pet Type</t>
        </is>
      </c>
      <c r="B1" s="31" t="inlineStr">
        <is>
          <t>Main Bonus</t>
        </is>
      </c>
      <c r="C1" s="31" t="inlineStr">
        <is>
          <t>Upkeep Bonus</t>
        </is>
      </c>
      <c r="D1" s="31" t="inlineStr">
        <is>
          <t>Pet Bonus Rule</t>
        </is>
      </c>
      <c r="E1" s="31" t="inlineStr">
        <is>
          <t>Suggested Use</t>
        </is>
      </c>
      <c r="F1" s="31" t="inlineStr">
        <is>
          <t>Notes</t>
        </is>
      </c>
    </row>
    <row r="2" ht="15" customHeight="1" s="24">
      <c r="A2" s="23" t="inlineStr">
        <is>
          <t>ENFP Pet</t>
        </is>
      </c>
      <c r="B2" s="23" t="inlineStr">
        <is>
          <t>Happiness</t>
        </is>
      </c>
      <c r="C2" s="23" t="inlineStr">
        <is>
          <t>Coolness Factor</t>
        </is>
      </c>
      <c r="D2" s="23" t="inlineStr">
        <is>
          <t>+10% if neutral; +5% if stacking strength; halves weakness penalty</t>
        </is>
      </c>
      <c r="E2" s="23" t="inlineStr">
        <is>
          <t>Covers fun/coolness routes</t>
        </is>
      </c>
    </row>
    <row r="3" ht="15" customHeight="1" s="24">
      <c r="A3" s="23" t="inlineStr">
        <is>
          <t>ESTP Pet</t>
        </is>
      </c>
      <c r="B3" s="23" t="inlineStr">
        <is>
          <t>Health</t>
        </is>
      </c>
      <c r="C3" s="23" t="inlineStr">
        <is>
          <t>Money</t>
        </is>
      </c>
      <c r="D3" s="23" t="inlineStr">
        <is>
          <t>+10% if neutral; +5% if stacking strength; halves weakness penalty</t>
        </is>
      </c>
      <c r="E3" s="23" t="inlineStr">
        <is>
          <t>Good for ENFP/ENFJ health-money weakness</t>
        </is>
      </c>
    </row>
    <row r="4" ht="15" customHeight="1" s="24">
      <c r="A4" s="23" t="inlineStr">
        <is>
          <t>ENTP Pet</t>
        </is>
      </c>
      <c r="B4" s="23" t="inlineStr">
        <is>
          <t>Health</t>
        </is>
      </c>
      <c r="C4" s="23" t="inlineStr">
        <is>
          <t>Critical Thinking</t>
        </is>
      </c>
      <c r="D4" s="23" t="inlineStr">
        <is>
          <t>+10% if neutral; +5% if stacking strength; halves weakness penalty</t>
        </is>
      </c>
      <c r="E4" s="23" t="inlineStr">
        <is>
          <t>Health/logic helper</t>
        </is>
      </c>
    </row>
    <row r="5" ht="15" customHeight="1" s="24">
      <c r="A5" s="23" t="inlineStr">
        <is>
          <t>ESFP Pet</t>
        </is>
      </c>
      <c r="B5" s="23" t="inlineStr">
        <is>
          <t>Happiness</t>
        </is>
      </c>
      <c r="C5" s="23" t="inlineStr">
        <is>
          <t>Coolness Factor</t>
        </is>
      </c>
      <c r="D5" s="23" t="inlineStr">
        <is>
          <t>+10% if neutral; +5% if stacking strength; halves weakness penalty</t>
        </is>
      </c>
      <c r="E5" s="23" t="inlineStr">
        <is>
          <t>Fun/coolness route</t>
        </is>
      </c>
    </row>
    <row r="6" ht="15" customHeight="1" s="24">
      <c r="A6" s="23" t="inlineStr">
        <is>
          <t>ENFJ Pet</t>
        </is>
      </c>
      <c r="B6" s="23" t="inlineStr">
        <is>
          <t>Connection</t>
        </is>
      </c>
      <c r="C6" s="23" t="inlineStr">
        <is>
          <t>Enlightenment</t>
        </is>
      </c>
      <c r="D6" s="23" t="inlineStr">
        <is>
          <t>+10% if neutral; +5% if stacking strength; halves weakness penalty</t>
        </is>
      </c>
      <c r="E6" s="23" t="inlineStr">
        <is>
          <t>Social/spiritual helper</t>
        </is>
      </c>
    </row>
    <row r="7" ht="15" customHeight="1" s="24">
      <c r="A7" s="23" t="inlineStr">
        <is>
          <t>ESFJ Pet</t>
        </is>
      </c>
      <c r="B7" s="23" t="inlineStr">
        <is>
          <t>Connection</t>
        </is>
      </c>
      <c r="C7" s="23" t="inlineStr">
        <is>
          <t>Coolness Factor</t>
        </is>
      </c>
      <c r="D7" s="23" t="inlineStr">
        <is>
          <t>+10% if neutral; +5% if stacking strength; halves weakness penalty</t>
        </is>
      </c>
      <c r="E7" s="23" t="inlineStr">
        <is>
          <t>Social/coolness helper</t>
        </is>
      </c>
    </row>
    <row r="8" ht="15" customHeight="1" s="24">
      <c r="A8" s="23" t="inlineStr">
        <is>
          <t>ENTJ Pet</t>
        </is>
      </c>
      <c r="B8" s="23" t="inlineStr">
        <is>
          <t>Career</t>
        </is>
      </c>
      <c r="C8" s="23" t="inlineStr">
        <is>
          <t>Money</t>
        </is>
      </c>
      <c r="D8" s="23" t="inlineStr">
        <is>
          <t>+10% if neutral; +5% if stacking strength; halves weakness penalty</t>
        </is>
      </c>
      <c r="E8" s="23" t="inlineStr">
        <is>
          <t>Engine pet; watch snowball</t>
        </is>
      </c>
      <c r="F8" s="23" t="inlineStr">
        <is>
          <t>Career/Money caps apply</t>
        </is>
      </c>
    </row>
    <row r="9" ht="15" customHeight="1" s="24">
      <c r="A9" s="23" t="inlineStr">
        <is>
          <t>ESTJ Pet</t>
        </is>
      </c>
      <c r="B9" s="23" t="inlineStr">
        <is>
          <t>Career</t>
        </is>
      </c>
      <c r="C9" s="23" t="inlineStr">
        <is>
          <t>Money</t>
        </is>
      </c>
      <c r="D9" s="23" t="inlineStr">
        <is>
          <t>+10% if neutral; +5% if stacking strength; halves weakness penalty</t>
        </is>
      </c>
      <c r="E9" s="23" t="inlineStr">
        <is>
          <t>Engine pet; watch snowball</t>
        </is>
      </c>
      <c r="F9" s="23" t="inlineStr">
        <is>
          <t>Career/Money caps apply</t>
        </is>
      </c>
    </row>
    <row r="10" ht="15" customHeight="1" s="24">
      <c r="A10" s="23" t="inlineStr">
        <is>
          <t>INTJ Pet</t>
        </is>
      </c>
      <c r="B10" s="23" t="inlineStr">
        <is>
          <t>Career</t>
        </is>
      </c>
      <c r="C10" s="23" t="inlineStr">
        <is>
          <t>Critical Thinking</t>
        </is>
      </c>
      <c r="D10" s="23" t="inlineStr">
        <is>
          <t>+10% if neutral; +5% if stacking strength; halves weakness penalty</t>
        </is>
      </c>
      <c r="E10" s="23" t="inlineStr">
        <is>
          <t>Career/logic helper</t>
        </is>
      </c>
    </row>
    <row r="11" ht="15" customHeight="1" s="24">
      <c r="A11" s="23" t="inlineStr">
        <is>
          <t>ISTJ Pet</t>
        </is>
      </c>
      <c r="B11" s="23" t="inlineStr">
        <is>
          <t>Career</t>
        </is>
      </c>
      <c r="C11" s="23" t="inlineStr">
        <is>
          <t>Money</t>
        </is>
      </c>
      <c r="D11" s="23" t="inlineStr">
        <is>
          <t>+10% if neutral; +5% if stacking strength; halves weakness penalty</t>
        </is>
      </c>
      <c r="E11" s="23" t="inlineStr">
        <is>
          <t>Engine pet; watch snowball</t>
        </is>
      </c>
      <c r="F11" s="23" t="inlineStr">
        <is>
          <t>Career/Money caps apply</t>
        </is>
      </c>
    </row>
    <row r="12" ht="15" customHeight="1" s="24">
      <c r="A12" s="23" t="inlineStr">
        <is>
          <t>ISFJ Pet</t>
        </is>
      </c>
      <c r="B12" s="23" t="inlineStr">
        <is>
          <t>Connection</t>
        </is>
      </c>
      <c r="C12" s="23" t="inlineStr">
        <is>
          <t>Enlightenment</t>
        </is>
      </c>
      <c r="D12" s="23" t="inlineStr">
        <is>
          <t>+10% if neutral; +5% if stacking strength; halves weakness penalty</t>
        </is>
      </c>
      <c r="E12" s="23" t="inlineStr">
        <is>
          <t>Social/spiritual helper</t>
        </is>
      </c>
    </row>
    <row r="13" ht="15" customHeight="1" s="24">
      <c r="A13" s="23" t="inlineStr">
        <is>
          <t>INFJ Pet</t>
        </is>
      </c>
      <c r="B13" s="23" t="inlineStr">
        <is>
          <t>Connection</t>
        </is>
      </c>
      <c r="C13" s="23" t="inlineStr">
        <is>
          <t>Enlightenment</t>
        </is>
      </c>
      <c r="D13" s="23" t="inlineStr">
        <is>
          <t>+10% if neutral; +5% if stacking strength; halves weakness penalty</t>
        </is>
      </c>
      <c r="E13" s="23" t="inlineStr">
        <is>
          <t>Social/spiritual helper</t>
        </is>
      </c>
    </row>
    <row r="14" ht="15" customHeight="1" s="24">
      <c r="A14" s="23" t="inlineStr">
        <is>
          <t>INFP Pet</t>
        </is>
      </c>
      <c r="B14" s="23" t="inlineStr">
        <is>
          <t>Happiness</t>
        </is>
      </c>
      <c r="C14" s="23" t="inlineStr">
        <is>
          <t>Enlightenment</t>
        </is>
      </c>
      <c r="D14" s="23" t="inlineStr">
        <is>
          <t>+10% if neutral; +5% if stacking strength; halves weakness penalty</t>
        </is>
      </c>
      <c r="E14" s="23" t="inlineStr">
        <is>
          <t>Happiness/enlightenment helper</t>
        </is>
      </c>
    </row>
    <row r="15" ht="15" customHeight="1" s="24">
      <c r="A15" s="23" t="inlineStr">
        <is>
          <t>ISFP Pet</t>
        </is>
      </c>
      <c r="B15" s="23" t="inlineStr">
        <is>
          <t>Happiness</t>
        </is>
      </c>
      <c r="C15" s="23" t="inlineStr">
        <is>
          <t>Coolness Factor</t>
        </is>
      </c>
      <c r="D15" s="23" t="inlineStr">
        <is>
          <t>+10% if neutral; +5% if stacking strength; halves weakness penalty</t>
        </is>
      </c>
      <c r="E15" s="23" t="inlineStr">
        <is>
          <t>Fun/coolness helper</t>
        </is>
      </c>
    </row>
    <row r="16" ht="15" customHeight="1" s="24">
      <c r="A16" s="23" t="inlineStr">
        <is>
          <t>ISTP Pet</t>
        </is>
      </c>
      <c r="B16" s="23" t="inlineStr">
        <is>
          <t>Health</t>
        </is>
      </c>
      <c r="C16" s="23" t="inlineStr">
        <is>
          <t>Critical Thinking</t>
        </is>
      </c>
      <c r="D16" s="23" t="inlineStr">
        <is>
          <t>+10% if neutral; +5% if stacking strength; halves weakness penalty</t>
        </is>
      </c>
      <c r="E16" s="23" t="inlineStr">
        <is>
          <t>Health/logic helper</t>
        </is>
      </c>
    </row>
    <row r="17" ht="15" customHeight="1" s="24">
      <c r="A17" s="23" t="inlineStr">
        <is>
          <t>INTP Pet</t>
        </is>
      </c>
      <c r="B17" s="23" t="inlineStr">
        <is>
          <t>Health</t>
        </is>
      </c>
      <c r="C17" s="23" t="inlineStr">
        <is>
          <t>Critical Thinking</t>
        </is>
      </c>
      <c r="D17" s="23" t="inlineStr">
        <is>
          <t>+10% if neutral; +5% if stacking strength; halves weakness penalty</t>
        </is>
      </c>
      <c r="E17" s="23" t="inlineStr">
        <is>
          <t>Health/logic helper</t>
        </is>
      </c>
    </row>
    <row r="18" ht="15" customHeight="1" s="24">
      <c r="A18" s="23" t="inlineStr">
        <is>
          <t>Pet Care Rule</t>
        </is>
      </c>
      <c r="B18" s="23" t="inlineStr">
        <is>
          <t>Pet Health</t>
        </is>
      </c>
      <c r="C18" s="23" t="inlineStr">
        <is>
          <t>Pet Happiness</t>
        </is>
      </c>
      <c r="D18" s="23" t="inlineStr">
        <is>
          <t>Fed/Healthy → Hungry → Sick → Critical → Dead</t>
        </is>
      </c>
      <c r="E18" s="23" t="inlineStr">
        <is>
          <t>Warnings occur as Pet Health drops</t>
        </is>
      </c>
      <c r="F18" s="23" t="inlineStr">
        <is>
          <t>If pet dies, player Happiness drops to 0</t>
        </is>
      </c>
    </row>
    <row r="20" ht="15" customHeight="1" s="24">
      <c r="A20" s="28" t="inlineStr">
        <is>
          <t>FEEDING &amp; DEATH RULES (v3 — replaces the old Healthy/Hungry/Sick/Critical/Dead states)</t>
        </is>
      </c>
    </row>
    <row r="21" ht="15" customHeight="1" s="24">
      <c r="A21" s="31" t="inlineStr">
        <is>
          <t>Consecutive missed feedings</t>
        </is>
      </c>
      <c r="B21" s="31" t="inlineStr">
        <is>
          <t>Result</t>
        </is>
      </c>
      <c r="C21" s="31" t="inlineStr">
        <is>
          <t>Card</t>
        </is>
      </c>
    </row>
    <row r="22" ht="15" customHeight="1" s="24">
      <c r="A22" s="23" t="n">
        <v>1</v>
      </c>
      <c r="B22" s="23" t="inlineStr">
        <is>
          <t>Pet is Sad: Pet Happiness -Standard (5%T)</t>
        </is>
      </c>
      <c r="C22" s="23" t="inlineStr">
        <is>
          <t>S03 SAD PET</t>
        </is>
      </c>
    </row>
    <row r="23" ht="15" customHeight="1" s="24">
      <c r="A23" s="23" t="n">
        <v>2</v>
      </c>
      <c r="B23" s="23" t="inlineStr">
        <is>
          <t>Pet is Starving: Pet Health -Strong (8%T), Pet Happiness -Strong (8%T). Final warning.</t>
        </is>
      </c>
      <c r="C23" s="23" t="inlineStr">
        <is>
          <t>S04 STARVING PET</t>
        </is>
      </c>
    </row>
    <row r="24" ht="15" customHeight="1" s="24">
      <c r="A24" s="23" t="n">
        <v>3</v>
      </c>
      <c r="B24" s="23" t="inlineStr">
        <is>
          <t>Pet dies. Tombstone appears in the player's housing (permanent). Owner Happiness set to 0. Re-adoption allowed; pet stats restart.</t>
        </is>
      </c>
      <c r="C24" s="23" t="inlineStr">
        <is>
          <t>S05 YOUR PET DIED</t>
        </is>
      </c>
    </row>
    <row r="25" ht="15" customHeight="1" s="24">
      <c r="A25" s="23" t="inlineStr">
        <is>
          <t>Reset</t>
        </is>
      </c>
      <c r="B25" s="23" t="inlineStr">
        <is>
          <t>Feeding the pet on any turn resets the missed-feeding counter to 0.</t>
        </is>
      </c>
      <c r="C25" s="2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3" min="1" max="1"/>
    <col width="60" customWidth="1" style="23" min="2" max="2"/>
    <col width="11" customWidth="1" style="23" min="3" max="3"/>
    <col width="14" customWidth="1" style="23" min="4" max="5"/>
    <col width="16" customWidth="1" style="23" min="6" max="6"/>
    <col width="18" customWidth="1" style="23" min="7" max="7"/>
    <col width="40" customWidth="1" style="23" min="8" max="8"/>
  </cols>
  <sheetData>
    <row r="1" ht="15" customHeight="1" s="24">
      <c r="A1" s="26" t="inlineStr">
        <is>
          <t>Generic 4-tier job math kept for reference / fallback if Jobs_Named is too much for the first build. %T-based like all other actions.</t>
        </is>
      </c>
    </row>
    <row r="3" ht="15" customHeight="1" s="24">
      <c r="A3" s="31" t="inlineStr">
        <is>
          <t>Tier</t>
        </is>
      </c>
      <c r="B3" s="31" t="inlineStr">
        <is>
          <t>Requirement</t>
        </is>
      </c>
      <c r="C3" s="31" t="inlineStr">
        <is>
          <t>Time Units</t>
        </is>
      </c>
      <c r="D3" s="31" t="inlineStr">
        <is>
          <t>Money Gain %T</t>
        </is>
      </c>
      <c r="E3" s="31" t="inlineStr">
        <is>
          <t>Career Gain %T</t>
        </is>
      </c>
      <c r="F3" s="31" t="inlineStr">
        <is>
          <t>Health Penalty %T</t>
        </is>
      </c>
      <c r="G3" s="31" t="inlineStr">
        <is>
          <t>Happiness Penalty %T</t>
        </is>
      </c>
      <c r="H3" s="31" t="inlineStr">
        <is>
          <t>Notes</t>
        </is>
      </c>
    </row>
    <row r="4" ht="15" customHeight="1" s="24">
      <c r="A4" s="23" t="inlineStr">
        <is>
          <t>Low</t>
        </is>
      </c>
      <c r="B4" s="23" t="inlineStr">
        <is>
          <t>Casual clothes</t>
        </is>
      </c>
      <c r="C4" s="23" t="n">
        <v>2</v>
      </c>
      <c r="D4" s="23" t="n">
        <v>0.08</v>
      </c>
      <c r="E4" s="23" t="n">
        <v>0.05</v>
      </c>
      <c r="F4" s="23" t="n">
        <v>0.02</v>
      </c>
      <c r="G4" s="23" t="n">
        <v>0.02</v>
      </c>
      <c r="H4" s="23" t="inlineStr">
        <is>
          <t>Entry work; available early</t>
        </is>
      </c>
    </row>
    <row r="5" ht="15" customHeight="1" s="24">
      <c r="A5" s="23" t="inlineStr">
        <is>
          <t>Mid</t>
        </is>
      </c>
      <c r="B5" s="23" t="inlineStr">
        <is>
          <t>Smart clothes + Undergrad OR Critical Thinking threshold</t>
        </is>
      </c>
      <c r="C5" s="23" t="n">
        <v>2</v>
      </c>
      <c r="D5" s="23" t="n">
        <v>0.12</v>
      </c>
      <c r="E5" s="23" t="n">
        <v>0.07000000000000001</v>
      </c>
      <c r="F5" s="23" t="n">
        <v>0.03</v>
      </c>
      <c r="G5" s="23" t="n">
        <v>0.03</v>
      </c>
      <c r="H5" s="23" t="inlineStr">
        <is>
          <t>First real money jump</t>
        </is>
      </c>
    </row>
    <row r="6" ht="15" customHeight="1" s="24">
      <c r="A6" s="23" t="inlineStr">
        <is>
          <t>High</t>
        </is>
      </c>
      <c r="B6" s="23" t="inlineStr">
        <is>
          <t>Business clothes + Master's OR high Critical Thinking + computer</t>
        </is>
      </c>
      <c r="C6" s="23" t="n">
        <v>2</v>
      </c>
      <c r="D6" s="23" t="n">
        <v>0.18</v>
      </c>
      <c r="E6" s="23" t="n">
        <v>0.09</v>
      </c>
      <c r="F6" s="23" t="n">
        <v>0.04</v>
      </c>
      <c r="G6" s="23" t="n">
        <v>0.04</v>
      </c>
      <c r="H6" s="23" t="inlineStr">
        <is>
          <t>Strong but burns Health/Happiness</t>
        </is>
      </c>
    </row>
    <row r="7" ht="15" customHeight="1" s="24">
      <c r="A7" s="23" t="inlineStr">
        <is>
          <t>Elite</t>
        </is>
      </c>
      <c r="B7" s="23" t="inlineStr">
        <is>
          <t>Business clothes + high Career/Critical Thinking + computer + premium reqs</t>
        </is>
      </c>
      <c r="C7" s="23" t="n">
        <v>2</v>
      </c>
      <c r="D7" s="23" t="n">
        <v>0.25</v>
      </c>
      <c r="E7" s="23" t="n">
        <v>0.12</v>
      </c>
      <c r="F7" s="23" t="n">
        <v>0.06</v>
      </c>
      <c r="G7" s="23" t="n">
        <v>0.06</v>
      </c>
      <c r="H7" s="23" t="inlineStr">
        <is>
          <t>Late-game engine; balance carefully</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23" min="1" max="1"/>
    <col width="38" customWidth="1" style="23" min="2" max="2"/>
    <col width="95" customWidth="1" style="23" min="3" max="3"/>
  </cols>
  <sheetData>
    <row r="1" ht="15" customHeight="1" s="24">
      <c r="A1" s="31" t="inlineStr">
        <is>
          <t>Building / Location</t>
        </is>
      </c>
      <c r="B1" s="31" t="inlineStr">
        <is>
          <t>Music File</t>
        </is>
      </c>
      <c r="C1" s="31" t="inlineStr">
        <is>
          <t>Trigger / Behaviour</t>
        </is>
      </c>
    </row>
    <row r="2" ht="15" customHeight="1" s="24">
      <c r="A2" s="23" t="inlineStr">
        <is>
          <t>Overmap (default)</t>
        </is>
      </c>
      <c r="B2" s="23" t="inlineStr">
        <is>
          <t>PP-Overmap.mp3</t>
        </is>
      </c>
      <c r="C2" s="23" t="inlineStr">
        <is>
          <t>Default looping background music on the world map.</t>
        </is>
      </c>
    </row>
    <row r="3" ht="15" customHeight="1" s="24">
      <c r="A3" s="23" t="inlineStr">
        <is>
          <t>Overmap - Rent is Due</t>
        </is>
      </c>
      <c r="B3" s="23" t="inlineStr">
        <is>
          <t>PP-OverMapRentisDue.mp3</t>
        </is>
      </c>
      <c r="C3" s="23" t="inlineStr">
        <is>
          <t>Replaces PP-Overmap.mp3 on the world map during every rent-due turn (turn 4, 8, 12, ... matching the 4-turn rent interval). Overrides the default track; reverts once rent is resolved / the rent turn ends.</t>
        </is>
      </c>
    </row>
    <row r="4" ht="15" customHeight="1" s="24">
      <c r="A4" s="23" t="inlineStr">
        <is>
          <t>Air One Supermarket</t>
        </is>
      </c>
      <c r="B4" s="23" t="inlineStr">
        <is>
          <t>PP-AirOneSuperMarket.mp3</t>
        </is>
      </c>
      <c r="C4" s="23" t="inlineStr">
        <is>
          <t>Plays on entering/interacting with the building.</t>
        </is>
      </c>
    </row>
    <row r="5" ht="15" customHeight="1" s="24">
      <c r="A5" s="23" t="inlineStr">
        <is>
          <t>Corporate Soul Exchange Office</t>
        </is>
      </c>
      <c r="B5" s="23" t="inlineStr">
        <is>
          <t>PP-CorporateSoulExchangeOffice.mp3</t>
        </is>
      </c>
      <c r="C5" s="23" t="inlineStr">
        <is>
          <t>Plays on entering/interacting with the building.</t>
        </is>
      </c>
    </row>
    <row r="6" ht="15" customHeight="1" s="24">
      <c r="A6" s="23" t="inlineStr">
        <is>
          <t>High IQ University</t>
        </is>
      </c>
      <c r="B6" s="23" t="inlineStr">
        <is>
          <t>PP-HighIQUniversity.mp3</t>
        </is>
      </c>
      <c r="C6" s="23" t="inlineStr">
        <is>
          <t>Plays on entering/interacting with the building.</t>
        </is>
      </c>
    </row>
    <row r="7" ht="15" customHeight="1" s="24">
      <c r="A7" s="23" t="inlineStr">
        <is>
          <t>Ethical Pet Shop</t>
        </is>
      </c>
      <c r="B7" s="23" t="inlineStr">
        <is>
          <t>PP-EthicalPetShop.mp3</t>
        </is>
      </c>
      <c r="C7" s="23" t="inlineStr">
        <is>
          <t>Plays on entering/interacting with the building.</t>
        </is>
      </c>
    </row>
    <row r="8" ht="15" customHeight="1" s="24">
      <c r="A8" s="23" t="inlineStr">
        <is>
          <t>Regret Burger</t>
        </is>
      </c>
      <c r="B8" s="23" t="inlineStr">
        <is>
          <t>PP-RegretBurger.mp3</t>
        </is>
      </c>
      <c r="C8" s="23" t="inlineStr">
        <is>
          <t>Plays on entering/interacting with the building.</t>
        </is>
      </c>
    </row>
    <row r="9" ht="15" customHeight="1" s="24">
      <c r="A9" s="23" t="inlineStr">
        <is>
          <t>Bro Science Gym</t>
        </is>
      </c>
      <c r="B9" s="23" t="inlineStr">
        <is>
          <t>PP-BroScienceGym.mp3</t>
        </is>
      </c>
      <c r="C9" s="23" t="inlineStr">
        <is>
          <t>Plays on entering/interacting with the building.</t>
        </is>
      </c>
    </row>
    <row r="10" ht="15" customHeight="1" s="24">
      <c r="A10" s="23" t="inlineStr">
        <is>
          <t>Park</t>
        </is>
      </c>
      <c r="B10" s="23" t="inlineStr">
        <is>
          <t>PP-Park.mp3</t>
        </is>
      </c>
      <c r="C10" s="23" t="inlineStr">
        <is>
          <t>Plays on entering/interacting with the building.</t>
        </is>
      </c>
    </row>
    <row r="11" ht="15" customHeight="1" s="24">
      <c r="A11" s="23" t="inlineStr">
        <is>
          <t>Emotional Baggage Airport</t>
        </is>
      </c>
      <c r="B11" s="23" t="inlineStr">
        <is>
          <t>PP-EmotionalBaggageAirport.mp3</t>
        </is>
      </c>
      <c r="C11" s="23" t="inlineStr">
        <is>
          <t>Plays on entering/interacting with the building.</t>
        </is>
      </c>
    </row>
    <row r="12" ht="15" customHeight="1" s="24">
      <c r="A12" s="23" t="inlineStr">
        <is>
          <t>Debt Street Capital</t>
        </is>
      </c>
      <c r="B12" s="23" t="inlineStr">
        <is>
          <t>PP-DebtStreetCapital.mp3</t>
        </is>
      </c>
      <c r="C12" s="23" t="inlineStr">
        <is>
          <t>Plays on entering/interacting with the building.</t>
        </is>
      </c>
    </row>
    <row r="13" ht="15" customHeight="1" s="24">
      <c r="A13" s="23" t="inlineStr">
        <is>
          <t>Bad Decisions Club</t>
        </is>
      </c>
      <c r="B13" s="23" t="inlineStr">
        <is>
          <t>PP-BadDecisionsClub.mp3</t>
        </is>
      </c>
      <c r="C13" s="23" t="inlineStr">
        <is>
          <t>Plays on entering/interacting with the building.</t>
        </is>
      </c>
    </row>
    <row r="14" ht="15" customHeight="1" s="24">
      <c r="A14" s="23" t="inlineStr">
        <is>
          <t>Luxury Apartment</t>
        </is>
      </c>
      <c r="B14" s="23" t="inlineStr">
        <is>
          <t>PP-LuxuryApartment.mp3</t>
        </is>
      </c>
      <c r="C14" s="23" t="inlineStr">
        <is>
          <t>Plays on entering/interacting with the building.</t>
        </is>
      </c>
    </row>
    <row r="15" ht="15" customHeight="1" s="24">
      <c r="A15" s="23" t="inlineStr">
        <is>
          <t>Low Cost Housing</t>
        </is>
      </c>
      <c r="B15" s="23" t="inlineStr">
        <is>
          <t>PP-LowCostHousing.mp3</t>
        </is>
      </c>
      <c r="C15" s="23" t="inlineStr">
        <is>
          <t>Plays on entering/interacting with the building.</t>
        </is>
      </c>
    </row>
    <row r="16" ht="15" customHeight="1" s="24">
      <c r="A16" s="23" t="inlineStr">
        <is>
          <t>Mall</t>
        </is>
      </c>
      <c r="B16" s="23" t="inlineStr">
        <is>
          <t>PP-Mall.mp3</t>
        </is>
      </c>
      <c r="C16" s="23" t="inlineStr">
        <is>
          <t>Plays on entering/interacting with the building.</t>
        </is>
      </c>
    </row>
    <row r="17" ht="15" customHeight="1" s="24">
      <c r="A17" s="23" t="inlineStr">
        <is>
          <t>Re-Education Temple</t>
        </is>
      </c>
      <c r="B17" s="23" t="inlineStr">
        <is>
          <t>(MISSING - no track yet)</t>
        </is>
      </c>
      <c r="C17" s="23" t="inlineStr">
        <is>
          <t>GAP: no track exists for the Temple. Fallback: keep the overmap track playing inside the Temple until PP-ReEducationTemple.mp3 is produced.</t>
        </is>
      </c>
    </row>
    <row r="19" ht="15" customHeight="1" s="24">
      <c r="A19" s="26" t="inlineStr">
        <is>
          <t>Rule</t>
        </is>
      </c>
      <c r="B19" s="23" t="inlineStr">
        <is>
          <t>Music Mode setting</t>
        </is>
      </c>
      <c r="C19" s="23" t="inlineStr">
        <is>
          <t>Settings screen offers Music Mode: 'Full' (overmap + building tracks, default) or 'Overmap Only' (building tracks disabled; overmap/rent-due tracks keep playing everywhere).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23" min="1" max="1"/>
    <col width="30" customWidth="1" style="23" min="2" max="2"/>
    <col width="22" customWidth="1" style="23" min="3" max="3"/>
    <col width="95" customWidth="1" style="23" min="4" max="4"/>
  </cols>
  <sheetData>
    <row r="1" ht="15" customHeight="1" s="24">
      <c r="A1" s="31" t="inlineStr">
        <is>
          <t>Action / Event</t>
        </is>
      </c>
      <c r="B1" s="31" t="inlineStr">
        <is>
          <t>Sound File</t>
        </is>
      </c>
      <c r="C1" s="31" t="inlineStr">
        <is>
          <t>Type</t>
        </is>
      </c>
      <c r="D1" s="31" t="inlineStr">
        <is>
          <t>Behaviour</t>
        </is>
      </c>
    </row>
    <row r="2" ht="15" customHeight="1" s="24">
      <c r="A2" s="23" t="inlineStr">
        <is>
          <t>Walking (player movement on foot)</t>
        </is>
      </c>
      <c r="B2" s="23" t="inlineStr">
        <is>
          <t>PP-Walking.wav</t>
        </is>
      </c>
      <c r="C2" s="23" t="inlineStr">
        <is>
          <t>Loop while moving</t>
        </is>
      </c>
      <c r="D2" s="23" t="inlineStr">
        <is>
          <t>Plays only when transport mode = Walking / Bus Pass. Stops immediately when movement ends or transport changes.</t>
        </is>
      </c>
    </row>
    <row r="3" ht="15" customHeight="1" s="24">
      <c r="A3" s="23" t="inlineStr">
        <is>
          <t>Bicycle bell (riding bicycle)</t>
        </is>
      </c>
      <c r="B3" s="23" t="inlineStr">
        <is>
          <t>PP-BicycleBell.mp3</t>
        </is>
      </c>
      <c r="C3" s="23" t="inlineStr">
        <is>
          <t>One-shot on move start</t>
        </is>
      </c>
      <c r="D3" s="23" t="inlineStr">
        <is>
          <t>Plays only when transport mode = Bicycle. Walking SFX is muted while Bicycle is the active transport.</t>
        </is>
      </c>
    </row>
    <row r="4" ht="15" customHeight="1" s="24">
      <c r="A4" s="23" t="inlineStr">
        <is>
          <t>Car acceleration (driving)</t>
        </is>
      </c>
      <c r="B4" s="23" t="inlineStr">
        <is>
          <t>PP-CarAcceleration.mp3</t>
        </is>
      </c>
      <c r="C4" s="23" t="inlineStr">
        <is>
          <t>One-shot on move start</t>
        </is>
      </c>
      <c r="D4" s="23" t="inlineStr">
        <is>
          <t>Plays only when transport mode = Car. Walking SFX is muted while Car is the active transport.</t>
        </is>
      </c>
    </row>
    <row r="5" ht="15" customHeight="1" s="24">
      <c r="A5" s="23" t="inlineStr">
        <is>
          <t>Menu button clicked (UI)</t>
        </is>
      </c>
      <c r="B5" s="23" t="inlineStr">
        <is>
          <t>PP-MenuButtonClicked.wav</t>
        </is>
      </c>
      <c r="C5" s="23" t="inlineStr">
        <is>
          <t>One-shot</t>
        </is>
      </c>
      <c r="D5" s="23" t="inlineStr">
        <is>
          <t>All UI buttons across all screens (start, setup, settings, in-game menus).</t>
        </is>
      </c>
    </row>
    <row r="6" ht="15" customHeight="1" s="24">
      <c r="A6" s="23" t="inlineStr">
        <is>
          <t>Eating fast food</t>
        </is>
      </c>
      <c r="B6" s="23" t="inlineStr">
        <is>
          <t>PP-EatingFastFood.mp3</t>
        </is>
      </c>
      <c r="C6" s="23" t="inlineStr">
        <is>
          <t>One-shot</t>
        </is>
      </c>
      <c r="D6" s="23" t="inlineStr">
        <is>
          <t>Any Regret Burger food action; optionally reuse for other eat actions in the MVP.</t>
        </is>
      </c>
    </row>
    <row r="7" ht="15" customHeight="1" s="24">
      <c r="A7" s="23" t="inlineStr">
        <is>
          <t>Money transaction</t>
        </is>
      </c>
      <c r="B7" s="23" t="inlineStr">
        <is>
          <t>PP-Money.mp3</t>
        </is>
      </c>
      <c r="C7" s="23" t="inlineStr">
        <is>
          <t>One-shot</t>
        </is>
      </c>
      <c r="D7" s="23" t="inlineStr">
        <is>
          <t>Plays on BOTH earning and spending (single transaction cue for the MVP). Split into separate earn/spend sounds post-MVP if desired.</t>
        </is>
      </c>
    </row>
    <row r="9" ht="15" customHeight="1" s="24">
      <c r="A9" s="26" t="inlineStr">
        <is>
          <t>Rule</t>
        </is>
      </c>
      <c r="B9" s="23" t="inlineStr">
        <is>
          <t>Movement SFX are mutually exclusive</t>
        </is>
      </c>
      <c r="D9" s="23" t="inlineStr">
        <is>
          <t>Only the SFX for the currently active transport slot item plays; switching transport silences the previous movement sound.</t>
        </is>
      </c>
    </row>
    <row r="10" ht="15" customHeight="1" s="24">
      <c r="A10" s="26" t="inlineStr">
        <is>
          <t>Rule</t>
        </is>
      </c>
      <c r="B10" s="23" t="inlineStr">
        <is>
          <t>Volume routing</t>
        </is>
      </c>
      <c r="D10" s="23" t="inlineStr">
        <is>
          <t>All SFX route through the SFX Volume slider; all music routes through the Music Volume slider; both are children of Master Volume.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7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3" min="1" max="1"/>
    <col width="34" customWidth="1" style="23" min="2" max="2"/>
    <col width="11" customWidth="1" style="23" min="3" max="3"/>
    <col width="10" customWidth="1" style="23" min="4" max="4"/>
    <col width="11" customWidth="1" style="23" min="5" max="5"/>
    <col width="38" customWidth="1" style="23" min="6" max="6"/>
    <col width="52" customWidth="1" style="23" min="7" max="7"/>
    <col width="48" customWidth="1" style="23" min="8" max="8"/>
  </cols>
  <sheetData>
    <row r="1" ht="15" customHeight="1" s="24">
      <c r="A1" s="26" t="inlineStr">
        <is>
          <t>WEEKEND UPDATE CARD SYSTEM. Cards appear stacked at the start of a player's turn (before the turn timer starts) and report what happened 'over the weekend'. Order shown: status cards, then investment outcomes (one per held asset), then exactly 1 event card. Effects use the standard gain tiers (Tiny 2.5%T, Standard 5%T, Strong 8%T, Premium 12%T). If a drawn event card's requirement is not met, redraw.</t>
        </is>
      </c>
    </row>
    <row r="3" ht="15" customHeight="1" s="24">
      <c r="A3" s="28" t="inlineStr">
        <is>
          <t>STANDING &amp; DRAW WEIGHTS</t>
        </is>
      </c>
    </row>
    <row r="4" ht="15" customHeight="1" s="24">
      <c r="A4" s="23" t="inlineStr">
        <is>
          <t>Standing is computed at the start of each player's turn using the live provisional score (final score formula). Ties break by Money, then turn order. 2-player games: leader uses 1st-place weights, the other uses last-place weights. 3-player: 1st / middle / last.</t>
        </is>
      </c>
    </row>
    <row r="5" ht="15" customHeight="1" s="24">
      <c r="A5" s="31" t="inlineStr">
        <is>
          <t>Standing</t>
        </is>
      </c>
      <c r="B5" s="31" t="inlineStr">
        <is>
          <t>Major Positive</t>
        </is>
      </c>
      <c r="C5" s="31" t="inlineStr">
        <is>
          <t>Minor Positive</t>
        </is>
      </c>
      <c r="D5" s="31" t="inlineStr">
        <is>
          <t>Minor Negative</t>
        </is>
      </c>
      <c r="E5" s="31" t="inlineStr">
        <is>
          <t>Major Negative</t>
        </is>
      </c>
    </row>
    <row r="6" ht="15" customHeight="1" s="24">
      <c r="A6" s="23" t="inlineStr">
        <is>
          <t>Last place</t>
        </is>
      </c>
      <c r="B6" s="23" t="n">
        <v>0.35</v>
      </c>
      <c r="C6" s="23" t="n">
        <v>0.35</v>
      </c>
      <c r="D6" s="23" t="n">
        <v>0.2</v>
      </c>
      <c r="E6" s="23" t="n">
        <v>0.1</v>
      </c>
    </row>
    <row r="7" ht="15" customHeight="1" s="24">
      <c r="A7" s="23" t="inlineStr">
        <is>
          <t>2nd / 3rd place</t>
        </is>
      </c>
      <c r="B7" s="23" t="n">
        <v>0</v>
      </c>
      <c r="C7" s="23" t="n">
        <v>0.5</v>
      </c>
      <c r="D7" s="23" t="n">
        <v>0.5</v>
      </c>
      <c r="E7" s="23" t="n">
        <v>0</v>
      </c>
    </row>
    <row r="8" ht="15" customHeight="1" s="24">
      <c r="A8" s="23" t="inlineStr">
        <is>
          <t>1st place</t>
        </is>
      </c>
      <c r="B8" s="23" t="n">
        <v>0.1</v>
      </c>
      <c r="C8" s="23" t="n">
        <v>0.2</v>
      </c>
      <c r="D8" s="23" t="n">
        <v>0.35</v>
      </c>
      <c r="E8" s="23" t="n">
        <v>0.35</v>
      </c>
    </row>
    <row r="10" ht="15" customHeight="1" s="24">
      <c r="A10" s="28" t="inlineStr">
        <is>
          <t>INVESTMENT RESOLUTION ODDS (drawn automatically per held asset, standing-weighted)</t>
        </is>
      </c>
    </row>
    <row r="11" ht="15" customHeight="1" s="24">
      <c r="A11" s="31" t="inlineStr">
        <is>
          <t>Asset</t>
        </is>
      </c>
      <c r="B11" s="31" t="inlineStr">
        <is>
          <t>Standing</t>
        </is>
      </c>
      <c r="C11" s="31" t="inlineStr">
        <is>
          <t>Big Gain</t>
        </is>
      </c>
      <c r="D11" s="31" t="inlineStr">
        <is>
          <t>Small Gain</t>
        </is>
      </c>
      <c r="E11" s="31" t="inlineStr">
        <is>
          <t>Small Loss</t>
        </is>
      </c>
      <c r="F11" s="31" t="inlineStr">
        <is>
          <t>Big Loss</t>
        </is>
      </c>
      <c r="G11" s="31" t="inlineStr">
        <is>
          <t>Card IDs used</t>
        </is>
      </c>
    </row>
    <row r="12" ht="15" customHeight="1" s="24">
      <c r="A12" s="23" t="inlineStr">
        <is>
          <t>Crypto</t>
        </is>
      </c>
      <c r="B12" s="23" t="inlineStr">
        <is>
          <t>Last place</t>
        </is>
      </c>
      <c r="C12" s="23" t="inlineStr">
        <is>
          <t>45%</t>
        </is>
      </c>
      <c r="D12" s="23" t="inlineStr">
        <is>
          <t>30%</t>
        </is>
      </c>
      <c r="E12" s="23" t="inlineStr">
        <is>
          <t>20%</t>
        </is>
      </c>
      <c r="F12" s="23" t="inlineStr">
        <is>
          <t>5% (destroys holding)</t>
        </is>
      </c>
      <c r="G12" s="23" t="inlineStr">
        <is>
          <t>I01 / I03 / I02</t>
        </is>
      </c>
    </row>
    <row r="13" ht="15" customHeight="1" s="24">
      <c r="A13" s="23" t="inlineStr">
        <is>
          <t>Crypto</t>
        </is>
      </c>
      <c r="B13" s="23" t="inlineStr">
        <is>
          <t>2nd / 3rd</t>
        </is>
      </c>
      <c r="C13" s="23" t="inlineStr">
        <is>
          <t>25%</t>
        </is>
      </c>
      <c r="D13" s="23" t="inlineStr">
        <is>
          <t>25%</t>
        </is>
      </c>
      <c r="E13" s="23" t="inlineStr">
        <is>
          <t>25%</t>
        </is>
      </c>
      <c r="F13" s="23" t="inlineStr">
        <is>
          <t>25% (destroys holding)</t>
        </is>
      </c>
      <c r="G13" s="23" t="inlineStr">
        <is>
          <t>I01 / I03 / I02</t>
        </is>
      </c>
    </row>
    <row r="14" ht="15" customHeight="1" s="24">
      <c r="A14" s="23" t="inlineStr">
        <is>
          <t>Crypto</t>
        </is>
      </c>
      <c r="B14" s="23" t="inlineStr">
        <is>
          <t>1st place</t>
        </is>
      </c>
      <c r="C14" s="23" t="inlineStr">
        <is>
          <t>5%</t>
        </is>
      </c>
      <c r="D14" s="23" t="inlineStr">
        <is>
          <t>20%</t>
        </is>
      </c>
      <c r="E14" s="23" t="inlineStr">
        <is>
          <t>30%</t>
        </is>
      </c>
      <c r="F14" s="23" t="inlineStr">
        <is>
          <t>45% (destroys holding)</t>
        </is>
      </c>
      <c r="G14" s="23" t="inlineStr">
        <is>
          <t>I01 / I03 / I02</t>
        </is>
      </c>
    </row>
    <row r="15" ht="15" customHeight="1" s="24">
      <c r="A15" s="23" t="inlineStr">
        <is>
          <t>Stocks</t>
        </is>
      </c>
      <c r="B15" s="23" t="inlineStr">
        <is>
          <t>Last place</t>
        </is>
      </c>
      <c r="C15" s="23" t="inlineStr">
        <is>
          <t>20%</t>
        </is>
      </c>
      <c r="D15" s="23" t="inlineStr">
        <is>
          <t>35%</t>
        </is>
      </c>
      <c r="E15" s="23" t="inlineStr">
        <is>
          <t>15%</t>
        </is>
      </c>
      <c r="F15" s="23" t="inlineStr">
        <is>
          <t>5%  (flat 25%)</t>
        </is>
      </c>
      <c r="G15" s="23" t="inlineStr">
        <is>
          <t>I04 / I06 / I09 / I05 / I10</t>
        </is>
      </c>
    </row>
    <row r="16" ht="15" customHeight="1" s="24">
      <c r="A16" s="23" t="inlineStr">
        <is>
          <t>Stocks</t>
        </is>
      </c>
      <c r="B16" s="23" t="inlineStr">
        <is>
          <t>2nd / 3rd</t>
        </is>
      </c>
      <c r="C16" s="23" t="inlineStr">
        <is>
          <t>5%</t>
        </is>
      </c>
      <c r="D16" s="23" t="inlineStr">
        <is>
          <t>20%</t>
        </is>
      </c>
      <c r="E16" s="23" t="inlineStr">
        <is>
          <t>20%</t>
        </is>
      </c>
      <c r="F16" s="23" t="inlineStr">
        <is>
          <t>5%  (flat 50%)</t>
        </is>
      </c>
      <c r="G16" s="23" t="inlineStr">
        <is>
          <t>I04 / I06 / I09 / I05 / I10</t>
        </is>
      </c>
    </row>
    <row r="17" ht="15" customHeight="1" s="24">
      <c r="A17" s="23" t="inlineStr">
        <is>
          <t>Stocks</t>
        </is>
      </c>
      <c r="B17" s="23" t="inlineStr">
        <is>
          <t>1st place</t>
        </is>
      </c>
      <c r="C17" s="23" t="inlineStr">
        <is>
          <t>5%</t>
        </is>
      </c>
      <c r="D17" s="23" t="inlineStr">
        <is>
          <t>15%</t>
        </is>
      </c>
      <c r="E17" s="23" t="inlineStr">
        <is>
          <t>35%</t>
        </is>
      </c>
      <c r="F17" s="23" t="inlineStr">
        <is>
          <t>20% (flat 25%)</t>
        </is>
      </c>
      <c r="G17" s="23" t="inlineStr">
        <is>
          <t>I04 / I06 / I09 / I05 / I10</t>
        </is>
      </c>
    </row>
    <row r="18" ht="15" customHeight="1" s="24">
      <c r="A18" s="23" t="inlineStr">
        <is>
          <t>Bonds</t>
        </is>
      </c>
      <c r="B18" s="23" t="inlineStr">
        <is>
          <t>Any</t>
        </is>
      </c>
      <c r="C18" s="23" t="inlineStr">
        <is>
          <t>—</t>
        </is>
      </c>
      <c r="D18" s="23" t="inlineStr">
        <is>
          <t>100% (+2%B)</t>
        </is>
      </c>
      <c r="E18" s="23" t="inlineStr">
        <is>
          <t>—</t>
        </is>
      </c>
      <c r="F18" s="23" t="inlineStr">
        <is>
          <t>—</t>
        </is>
      </c>
      <c r="G18" s="23" t="inlineStr">
        <is>
          <t>I07 safe: never standing-weighted</t>
        </is>
      </c>
    </row>
    <row r="19" ht="15" customHeight="1" s="24">
      <c r="A19" s="23" t="inlineStr">
        <is>
          <t>Savings</t>
        </is>
      </c>
      <c r="B19" s="23" t="inlineStr">
        <is>
          <t>Any</t>
        </is>
      </c>
      <c r="C19" s="23" t="inlineStr">
        <is>
          <t>—</t>
        </is>
      </c>
      <c r="D19" s="23" t="inlineStr">
        <is>
          <t>100% (+1%B)</t>
        </is>
      </c>
      <c r="E19" s="23" t="inlineStr">
        <is>
          <t>—</t>
        </is>
      </c>
      <c r="F19" s="23" t="inlineStr">
        <is>
          <t>—</t>
        </is>
      </c>
      <c r="G19" s="23" t="inlineStr">
        <is>
          <t>I08 safe: never standing-weighted</t>
        </is>
      </c>
    </row>
    <row r="20" ht="15" customHeight="1" s="24">
      <c r="A20" s="23" t="inlineStr">
        <is>
          <t>Crypto is deliberately extreme (the leader's trap, the trailer's comeback); Stocks are deliberately mild, and mostly FLAT for 2nd/3rd place so mid-table players are not swung around by the market. Bonds and Savings are always safe so the leader keeps a rational place to park money.</t>
        </is>
      </c>
    </row>
    <row r="22" ht="15" customHeight="1" s="24">
      <c r="A22" s="28" t="inlineStr">
        <is>
          <t>CARD LIST</t>
        </is>
      </c>
    </row>
    <row r="23" ht="15" customHeight="1" s="24">
      <c r="A23" s="31" t="inlineStr">
        <is>
          <t>ID</t>
        </is>
      </c>
      <c r="B23" s="31" t="inlineStr">
        <is>
          <t>Card Name</t>
        </is>
      </c>
      <c r="C23" s="31" t="inlineStr">
        <is>
          <t>Type</t>
        </is>
      </c>
      <c r="D23" s="31" t="inlineStr">
        <is>
          <t>Polarity</t>
        </is>
      </c>
      <c r="E23" s="31" t="inlineStr">
        <is>
          <t>Magnitude</t>
        </is>
      </c>
      <c r="F23" s="31" t="inlineStr">
        <is>
          <t>Requirement</t>
        </is>
      </c>
      <c r="G23" s="31" t="inlineStr">
        <is>
          <t>Effect</t>
        </is>
      </c>
      <c r="H23" s="31" t="inlineStr">
        <is>
          <t>Flavor / Notes</t>
        </is>
      </c>
    </row>
    <row r="24" ht="15" customHeight="1" s="24">
      <c r="A24" s="23" t="inlineStr">
        <is>
          <t>S01</t>
        </is>
      </c>
      <c r="B24" s="23" t="inlineStr">
        <is>
          <t>YOU FORGOT TO EAT!</t>
        </is>
      </c>
      <c r="C24" s="23" t="inlineStr">
        <is>
          <t>Status</t>
        </is>
      </c>
      <c r="D24" s="23" t="inlineStr">
        <is>
          <t>Negative</t>
        </is>
      </c>
      <c r="E24" s="23" t="inlineStr">
        <is>
          <t>—</t>
        </is>
      </c>
      <c r="F24" s="23" t="inlineStr">
        <is>
          <t>Did not eat last turn</t>
        </is>
      </c>
      <c r="G24" s="23" t="inlineStr">
        <is>
          <t>-4 Time Units this turn</t>
        </is>
      </c>
      <c r="H24" s="23" t="inlineStr">
        <is>
          <t>Grab something at Regret Burger, Air One, or your fridge.</t>
        </is>
      </c>
    </row>
    <row r="25" ht="15" customHeight="1" s="24">
      <c r="A25" s="23" t="inlineStr">
        <is>
          <t>S02</t>
        </is>
      </c>
      <c r="B25" s="23" t="inlineStr">
        <is>
          <t>STRESSED OUT!</t>
        </is>
      </c>
      <c r="C25" s="23" t="inlineStr">
        <is>
          <t>Status</t>
        </is>
      </c>
      <c r="D25" s="23" t="inlineStr">
        <is>
          <t>Negative</t>
        </is>
      </c>
      <c r="E25" s="23" t="inlineStr">
        <is>
          <t>—</t>
        </is>
      </c>
      <c r="F25" s="23" t="inlineStr">
        <is>
          <t>No relaxation for 2 turns</t>
        </is>
      </c>
      <c r="G25" s="23" t="inlineStr">
        <is>
          <t>-2 Time Units this turn</t>
        </is>
      </c>
      <c r="H25" s="23" t="inlineStr">
        <is>
          <t>Stacks with S01; minimum 1 Time Unit per turn.</t>
        </is>
      </c>
    </row>
    <row r="26" ht="15" customHeight="1" s="24">
      <c r="A26" s="23" t="inlineStr">
        <is>
          <t>S03</t>
        </is>
      </c>
      <c r="B26" s="23" t="inlineStr">
        <is>
          <t>SAD PET</t>
        </is>
      </c>
      <c r="C26" s="23" t="inlineStr">
        <is>
          <t>Status</t>
        </is>
      </c>
      <c r="D26" s="23" t="inlineStr">
        <is>
          <t>Negative</t>
        </is>
      </c>
      <c r="E26" s="23" t="inlineStr">
        <is>
          <t>—</t>
        </is>
      </c>
      <c r="F26" s="23" t="inlineStr">
        <is>
          <t>Pet missed 1 feeding</t>
        </is>
      </c>
      <c r="G26" s="23" t="inlineStr">
        <is>
          <t>Pet Happiness -Standard (5%T)</t>
        </is>
      </c>
      <c r="H26" s="23" t="inlineStr">
        <is>
          <t>Feeding resets the missed-feeding counter.</t>
        </is>
      </c>
    </row>
    <row r="27" ht="15" customHeight="1" s="24">
      <c r="A27" s="23" t="inlineStr">
        <is>
          <t>S04</t>
        </is>
      </c>
      <c r="B27" s="23" t="inlineStr">
        <is>
          <t>STARVING PET</t>
        </is>
      </c>
      <c r="C27" s="23" t="inlineStr">
        <is>
          <t>Status</t>
        </is>
      </c>
      <c r="D27" s="23" t="inlineStr">
        <is>
          <t>Negative</t>
        </is>
      </c>
      <c r="E27" s="23" t="inlineStr">
        <is>
          <t>—</t>
        </is>
      </c>
      <c r="F27" s="23" t="inlineStr">
        <is>
          <t>Pet missed 2 consecutive feedings</t>
        </is>
      </c>
      <c r="G27" s="23" t="inlineStr">
        <is>
          <t>Pet Health -Strong (8%T), Pet Happiness -Strong (8%T)</t>
        </is>
      </c>
      <c r="H27" s="23" t="inlineStr">
        <is>
          <t>FINAL WARNING before pet death.</t>
        </is>
      </c>
    </row>
    <row r="28" ht="15" customHeight="1" s="24">
      <c r="A28" s="23" t="inlineStr">
        <is>
          <t>S05</t>
        </is>
      </c>
      <c r="B28" s="23" t="inlineStr">
        <is>
          <t>YOUR PET DIED</t>
        </is>
      </c>
      <c r="C28" s="23" t="inlineStr">
        <is>
          <t>Status</t>
        </is>
      </c>
      <c r="D28" s="23" t="inlineStr">
        <is>
          <t>Negative</t>
        </is>
      </c>
      <c r="E28" s="23" t="inlineStr">
        <is>
          <t>—</t>
        </is>
      </c>
      <c r="F28" s="23" t="inlineStr">
        <is>
          <t>Pet missed 3 consecutive feedings</t>
        </is>
      </c>
      <c r="G28" s="23" t="inlineStr">
        <is>
          <t>Pet removed; tombstone appears in player's housing; owner Happiness set to 0</t>
        </is>
      </c>
      <c r="H28" s="23" t="inlineStr">
        <is>
          <t>Tombstone is permanent. Re-adoption allowed at Ethical Pet Shop (pet stats restart).</t>
        </is>
      </c>
    </row>
    <row r="29" ht="15" customHeight="1" s="24">
      <c r="A29" s="23" t="inlineStr">
        <is>
          <t>I01</t>
        </is>
      </c>
      <c r="B29" s="23" t="inlineStr">
        <is>
          <t>TO THE MOON!</t>
        </is>
      </c>
      <c r="C29" s="23" t="inlineStr">
        <is>
          <t>Investment</t>
        </is>
      </c>
      <c r="D29" s="23" t="inlineStr">
        <is>
          <t>Positive</t>
        </is>
      </c>
      <c r="E29" s="23" t="inlineStr">
        <is>
          <t>Major</t>
        </is>
      </c>
      <c r="F29" s="23" t="inlineStr">
        <is>
          <t>Holds Crypto</t>
        </is>
      </c>
      <c r="G29" s="23" t="inlineStr">
        <is>
          <t>Money +15%B</t>
        </is>
      </c>
      <c r="H29" s="23" t="inlineStr">
        <is>
          <t>Crypto big gain. Holding survives.</t>
        </is>
      </c>
    </row>
    <row r="30" ht="15" customHeight="1" s="24">
      <c r="A30" s="23" t="inlineStr">
        <is>
          <t>I02</t>
        </is>
      </c>
      <c r="B30" s="23" t="inlineStr">
        <is>
          <t>RUG PULL</t>
        </is>
      </c>
      <c r="C30" s="23" t="inlineStr">
        <is>
          <t>Investment</t>
        </is>
      </c>
      <c r="D30" s="23" t="inlineStr">
        <is>
          <t>Negative</t>
        </is>
      </c>
      <c r="E30" s="23" t="inlineStr">
        <is>
          <t>Major</t>
        </is>
      </c>
      <c r="F30" s="23" t="inlineStr">
        <is>
          <t>Holds Crypto</t>
        </is>
      </c>
      <c r="G30" s="23" t="inlineStr">
        <is>
          <t>CRYPTO HOLDING DESTROYED: principal (25%B) is lost. No further crypto cards until repurchased.</t>
        </is>
      </c>
      <c r="H30" s="23" t="inlineStr">
        <is>
          <t>Crypto big loss. This is the only outcome that destroys a holding.</t>
        </is>
      </c>
    </row>
    <row r="31" ht="15" customHeight="1" s="24">
      <c r="A31" s="23" t="inlineStr">
        <is>
          <t>I03</t>
        </is>
      </c>
      <c r="B31" s="23" t="inlineStr">
        <is>
          <t>CRYPTO WOBBLE</t>
        </is>
      </c>
      <c r="C31" s="23" t="inlineStr">
        <is>
          <t>Investment</t>
        </is>
      </c>
      <c r="D31" s="23" t="inlineStr">
        <is>
          <t>Mixed</t>
        </is>
      </c>
      <c r="E31" s="23" t="inlineStr">
        <is>
          <t>Minor</t>
        </is>
      </c>
      <c r="F31" s="23" t="inlineStr">
        <is>
          <t>Holds Crypto</t>
        </is>
      </c>
      <c r="G31" s="23" t="inlineStr">
        <is>
          <t>Money +5%B or -5%B per the odds table</t>
        </is>
      </c>
      <c r="H31" s="23" t="inlineStr">
        <is>
          <t>Crypto small swing. Holding survives.</t>
        </is>
      </c>
    </row>
    <row r="32" ht="15" customHeight="1" s="24">
      <c r="A32" s="23" t="inlineStr">
        <is>
          <t>I04</t>
        </is>
      </c>
      <c r="B32" s="23" t="inlineStr">
        <is>
          <t>BULL RUN</t>
        </is>
      </c>
      <c r="C32" s="23" t="inlineStr">
        <is>
          <t>Investment</t>
        </is>
      </c>
      <c r="D32" s="23" t="inlineStr">
        <is>
          <t>Positive</t>
        </is>
      </c>
      <c r="E32" s="23" t="inlineStr">
        <is>
          <t>Major</t>
        </is>
      </c>
      <c r="F32" s="23" t="inlineStr">
        <is>
          <t>Holds Stocks</t>
        </is>
      </c>
      <c r="G32" s="23" t="inlineStr">
        <is>
          <t>Money +8%B</t>
        </is>
      </c>
      <c r="H32" s="23" t="inlineStr">
        <is>
          <t>Stocks big gain.</t>
        </is>
      </c>
    </row>
    <row r="33" ht="15" customHeight="1" s="24">
      <c r="A33" s="23" t="inlineStr">
        <is>
          <t>I05</t>
        </is>
      </c>
      <c r="B33" s="23" t="inlineStr">
        <is>
          <t>MARKET DIP</t>
        </is>
      </c>
      <c r="C33" s="23" t="inlineStr">
        <is>
          <t>Investment</t>
        </is>
      </c>
      <c r="D33" s="23" t="inlineStr">
        <is>
          <t>Negative</t>
        </is>
      </c>
      <c r="E33" s="23" t="inlineStr">
        <is>
          <t>Minor</t>
        </is>
      </c>
      <c r="F33" s="23" t="inlineStr">
        <is>
          <t>Holds Stocks</t>
        </is>
      </c>
      <c r="G33" s="23" t="inlineStr">
        <is>
          <t>Money -3%B</t>
        </is>
      </c>
      <c r="H33" s="23" t="inlineStr">
        <is>
          <t>Stocks small loss.</t>
        </is>
      </c>
    </row>
    <row r="34" ht="15" customHeight="1" s="24">
      <c r="A34" s="23" t="inlineStr">
        <is>
          <t>I06</t>
        </is>
      </c>
      <c r="B34" s="23" t="inlineStr">
        <is>
          <t>DIVIDEND DAY</t>
        </is>
      </c>
      <c r="C34" s="23" t="inlineStr">
        <is>
          <t>Investment</t>
        </is>
      </c>
      <c r="D34" s="23" t="inlineStr">
        <is>
          <t>Positive</t>
        </is>
      </c>
      <c r="E34" s="23" t="inlineStr">
        <is>
          <t>Minor</t>
        </is>
      </c>
      <c r="F34" s="23" t="inlineStr">
        <is>
          <t>Holds Stocks</t>
        </is>
      </c>
      <c r="G34" s="23" t="inlineStr">
        <is>
          <t>Money +3%B</t>
        </is>
      </c>
      <c r="H34" s="23" t="inlineStr">
        <is>
          <t>Stocks small gain.</t>
        </is>
      </c>
    </row>
    <row r="35" ht="15" customHeight="1" s="24">
      <c r="A35" s="23" t="inlineStr">
        <is>
          <t>I07</t>
        </is>
      </c>
      <c r="B35" s="23" t="inlineStr">
        <is>
          <t>BOND COUPON</t>
        </is>
      </c>
      <c r="C35" s="23" t="inlineStr">
        <is>
          <t>Investment</t>
        </is>
      </c>
      <c r="D35" s="23" t="inlineStr">
        <is>
          <t>Positive</t>
        </is>
      </c>
      <c r="E35" s="23" t="inlineStr">
        <is>
          <t>Minor</t>
        </is>
      </c>
      <c r="F35" s="23" t="inlineStr">
        <is>
          <t>Holds Bonds</t>
        </is>
      </c>
      <c r="G35" s="23" t="inlineStr">
        <is>
          <t>Money +2%B</t>
        </is>
      </c>
      <c r="H35" s="23" t="inlineStr">
        <is>
          <t>Safe. Never standing-weighted. Requires a BONDS holding.</t>
        </is>
      </c>
    </row>
    <row r="36" ht="15" customHeight="1" s="24">
      <c r="A36" s="23" t="inlineStr">
        <is>
          <t>I08</t>
        </is>
      </c>
      <c r="B36" s="23" t="inlineStr">
        <is>
          <t>SAVINGS INTEREST</t>
        </is>
      </c>
      <c r="C36" s="23" t="inlineStr">
        <is>
          <t>Investment</t>
        </is>
      </c>
      <c r="D36" s="23" t="inlineStr">
        <is>
          <t>Positive</t>
        </is>
      </c>
      <c r="E36" s="23" t="inlineStr">
        <is>
          <t>Minor</t>
        </is>
      </c>
      <c r="F36" s="23" t="inlineStr">
        <is>
          <t>Holds Savings Account</t>
        </is>
      </c>
      <c r="G36" s="23" t="inlineStr">
        <is>
          <t>Money +1%B</t>
        </is>
      </c>
      <c r="H36" s="23" t="inlineStr">
        <is>
          <t>Safe. Never standing-weighted. Requires a SAVINGS holding.</t>
        </is>
      </c>
    </row>
    <row r="37" ht="15" customHeight="1" s="24">
      <c r="A37" s="23" t="inlineStr">
        <is>
          <t>I09</t>
        </is>
      </c>
      <c r="B37" s="23" t="inlineStr">
        <is>
          <t>SIDEWAYS MARKET</t>
        </is>
      </c>
      <c r="C37" s="23" t="inlineStr">
        <is>
          <t>Investment</t>
        </is>
      </c>
      <c r="D37" s="23" t="inlineStr">
        <is>
          <t>Neutral</t>
        </is>
      </c>
      <c r="E37" s="23" t="inlineStr">
        <is>
          <t>None</t>
        </is>
      </c>
      <c r="F37" s="23" t="inlineStr">
        <is>
          <t>Holds Stocks</t>
        </is>
      </c>
      <c r="G37" s="23" t="inlineStr">
        <is>
          <t>No change</t>
        </is>
      </c>
      <c r="H37" s="23" t="inlineStr">
        <is>
          <t>The market did absolutely nothing. Riveting. This is the most common stocks result for 2nd/3rd place.</t>
        </is>
      </c>
    </row>
    <row r="38" ht="15" customHeight="1" s="24">
      <c r="A38" s="23" t="inlineStr">
        <is>
          <t>I10</t>
        </is>
      </c>
      <c r="B38" s="23" t="inlineStr">
        <is>
          <t>MARKET CRASH</t>
        </is>
      </c>
      <c r="C38" s="23" t="inlineStr">
        <is>
          <t>Investment</t>
        </is>
      </c>
      <c r="D38" s="23" t="inlineStr">
        <is>
          <t>Negative</t>
        </is>
      </c>
      <c r="E38" s="23" t="inlineStr">
        <is>
          <t>Major</t>
        </is>
      </c>
      <c r="F38" s="23" t="inlineStr">
        <is>
          <t>Holds Stocks</t>
        </is>
      </c>
      <c r="G38" s="23" t="inlineStr">
        <is>
          <t>Money -8%B</t>
        </is>
      </c>
      <c r="H38" s="23" t="inlineStr">
        <is>
          <t>Stocks big loss. Unlike crypto, the holding SURVIVES a crash.</t>
        </is>
      </c>
    </row>
    <row r="39" ht="15" customHeight="1" s="24">
      <c r="A39" s="23" t="inlineStr">
        <is>
          <t>E01</t>
        </is>
      </c>
      <c r="B39" s="23" t="inlineStr">
        <is>
          <t>LONG-LOST INHERITANCE</t>
        </is>
      </c>
      <c r="C39" s="23" t="inlineStr">
        <is>
          <t>Event</t>
        </is>
      </c>
      <c r="D39" s="23" t="inlineStr">
        <is>
          <t>Positive</t>
        </is>
      </c>
      <c r="E39" s="23" t="inlineStr">
        <is>
          <t>Major</t>
        </is>
      </c>
      <c r="F39" s="23" t="inlineStr">
        <is>
          <t>None</t>
        </is>
      </c>
      <c r="G39" s="23" t="inlineStr">
        <is>
          <t>Money +Premium (12%T)</t>
        </is>
      </c>
      <c r="H39" s="23" t="inlineStr">
        <is>
          <t>A relative you have never heard of left you everything.</t>
        </is>
      </c>
    </row>
    <row r="40" ht="15" customHeight="1" s="24">
      <c r="A40" s="23" t="inlineStr">
        <is>
          <t>E02</t>
        </is>
      </c>
      <c r="B40" s="23" t="inlineStr">
        <is>
          <t>TAX REFUND</t>
        </is>
      </c>
      <c r="C40" s="23" t="inlineStr">
        <is>
          <t>Event</t>
        </is>
      </c>
      <c r="D40" s="23" t="inlineStr">
        <is>
          <t>Positive</t>
        </is>
      </c>
      <c r="E40" s="23" t="inlineStr">
        <is>
          <t>Minor</t>
        </is>
      </c>
      <c r="F40" s="23" t="inlineStr">
        <is>
          <t>None</t>
        </is>
      </c>
      <c r="G40" s="23" t="inlineStr">
        <is>
          <t>Money +Tiny (2.5%T)</t>
        </is>
      </c>
      <c r="H40" s="23" t="inlineStr">
        <is>
          <t>The system works. Once.</t>
        </is>
      </c>
    </row>
    <row r="41" ht="15" customHeight="1" s="24">
      <c r="A41" s="23" t="inlineStr">
        <is>
          <t>E03</t>
        </is>
      </c>
      <c r="B41" s="23" t="inlineStr">
        <is>
          <t>FOUND CASH ON THE SIDEWALK</t>
        </is>
      </c>
      <c r="C41" s="23" t="inlineStr">
        <is>
          <t>Event</t>
        </is>
      </c>
      <c r="D41" s="23" t="inlineStr">
        <is>
          <t>Positive</t>
        </is>
      </c>
      <c r="E41" s="23" t="inlineStr">
        <is>
          <t>Minor</t>
        </is>
      </c>
      <c r="F41" s="23" t="inlineStr">
        <is>
          <t>None</t>
        </is>
      </c>
      <c r="G41" s="23" t="inlineStr">
        <is>
          <t>Money +Tiny (2.5%T)</t>
        </is>
      </c>
      <c r="H41" s="23" t="inlineStr">
        <is>
          <t>Finders keepers.</t>
        </is>
      </c>
    </row>
    <row r="42" ht="15" customHeight="1" s="24">
      <c r="A42" s="23" t="inlineStr">
        <is>
          <t>E04</t>
        </is>
      </c>
      <c r="B42" s="23" t="inlineStr">
        <is>
          <t>IRS AUDIT</t>
        </is>
      </c>
      <c r="C42" s="23" t="inlineStr">
        <is>
          <t>Event</t>
        </is>
      </c>
      <c r="D42" s="23" t="inlineStr">
        <is>
          <t>Negative</t>
        </is>
      </c>
      <c r="E42" s="23" t="inlineStr">
        <is>
          <t>Major</t>
        </is>
      </c>
      <c r="F42" s="23" t="inlineStr">
        <is>
          <t>None</t>
        </is>
      </c>
      <c r="G42" s="23" t="inlineStr">
        <is>
          <t>Money -Premium (12%T)</t>
        </is>
      </c>
      <c r="H42" s="23" t="inlineStr">
        <is>
          <t>They found the shoebox.</t>
        </is>
      </c>
    </row>
    <row r="43" ht="15" customHeight="1" s="24">
      <c r="A43" s="23" t="inlineStr">
        <is>
          <t>E05</t>
        </is>
      </c>
      <c r="B43" s="23" t="inlineStr">
        <is>
          <t>WON A RADIO CONTEST</t>
        </is>
      </c>
      <c r="C43" s="23" t="inlineStr">
        <is>
          <t>Event</t>
        </is>
      </c>
      <c r="D43" s="23" t="inlineStr">
        <is>
          <t>Positive</t>
        </is>
      </c>
      <c r="E43" s="23" t="inlineStr">
        <is>
          <t>Major</t>
        </is>
      </c>
      <c r="F43" s="23" t="inlineStr">
        <is>
          <t>None</t>
        </is>
      </c>
      <c r="G43" s="23" t="inlineStr">
        <is>
          <t>Money +Strong (8%T), Happiness +Tiny (2.5%T)</t>
        </is>
      </c>
      <c r="H43" s="23" t="inlineStr">
        <is>
          <t>Caller number nine!</t>
        </is>
      </c>
    </row>
    <row r="44" ht="15" customHeight="1" s="24">
      <c r="A44" s="23" t="inlineStr">
        <is>
          <t>E06</t>
        </is>
      </c>
      <c r="B44" s="23" t="inlineStr">
        <is>
          <t>PARKING TICKET</t>
        </is>
      </c>
      <c r="C44" s="23" t="inlineStr">
        <is>
          <t>Event</t>
        </is>
      </c>
      <c r="D44" s="23" t="inlineStr">
        <is>
          <t>Negative</t>
        </is>
      </c>
      <c r="E44" s="23" t="inlineStr">
        <is>
          <t>Minor</t>
        </is>
      </c>
      <c r="F44" s="23" t="inlineStr">
        <is>
          <t>Owns Car</t>
        </is>
      </c>
      <c r="G44" s="23" t="inlineStr">
        <is>
          <t>Money -Tiny (2.5%T)</t>
        </is>
      </c>
      <c r="H44" s="23" t="inlineStr">
        <is>
          <t>The meter maid never sleeps.</t>
        </is>
      </c>
    </row>
    <row r="45" ht="15" customHeight="1" s="24">
      <c r="A45" s="23" t="inlineStr">
        <is>
          <t>E07</t>
        </is>
      </c>
      <c r="B45" s="23" t="inlineStr">
        <is>
          <t>CAR BROKE DOWN</t>
        </is>
      </c>
      <c r="C45" s="23" t="inlineStr">
        <is>
          <t>Event</t>
        </is>
      </c>
      <c r="D45" s="23" t="inlineStr">
        <is>
          <t>Negative</t>
        </is>
      </c>
      <c r="E45" s="23" t="inlineStr">
        <is>
          <t>Major</t>
        </is>
      </c>
      <c r="F45" s="23" t="inlineStr">
        <is>
          <t>Owns Car</t>
        </is>
      </c>
      <c r="G45" s="23" t="inlineStr">
        <is>
          <t>Money -Standard (5%T) repair; transport counts as Walking this turn</t>
        </is>
      </c>
      <c r="H45" s="23" t="inlineStr">
        <is>
          <t>It made that noise again.</t>
        </is>
      </c>
    </row>
    <row r="46" ht="15" customHeight="1" s="24">
      <c r="A46" s="23" t="inlineStr">
        <is>
          <t>E08</t>
        </is>
      </c>
      <c r="B46" s="23" t="inlineStr">
        <is>
          <t>BIKE TUNE-UP WEEKEND</t>
        </is>
      </c>
      <c r="C46" s="23" t="inlineStr">
        <is>
          <t>Event</t>
        </is>
      </c>
      <c r="D46" s="23" t="inlineStr">
        <is>
          <t>Positive</t>
        </is>
      </c>
      <c r="E46" s="23" t="inlineStr">
        <is>
          <t>Minor</t>
        </is>
      </c>
      <c r="F46" s="23" t="inlineStr">
        <is>
          <t>Owns Bicycle</t>
        </is>
      </c>
      <c r="G46" s="23" t="inlineStr">
        <is>
          <t>Health +Tiny (2.5%T)</t>
        </is>
      </c>
      <c r="H46" s="23" t="inlineStr">
        <is>
          <t>Fresh chain, fresh legs.</t>
        </is>
      </c>
    </row>
    <row r="47" ht="15" customHeight="1" s="24">
      <c r="A47" s="23" t="inlineStr">
        <is>
          <t>E09</t>
        </is>
      </c>
      <c r="B47" s="23" t="inlineStr">
        <is>
          <t>PHONE SCREEN CRACKED</t>
        </is>
      </c>
      <c r="C47" s="23" t="inlineStr">
        <is>
          <t>Event</t>
        </is>
      </c>
      <c r="D47" s="23" t="inlineStr">
        <is>
          <t>Negative</t>
        </is>
      </c>
      <c r="E47" s="23" t="inlineStr">
        <is>
          <t>Minor</t>
        </is>
      </c>
      <c r="F47" s="23" t="inlineStr">
        <is>
          <t>Owns any Tech item</t>
        </is>
      </c>
      <c r="G47" s="23" t="inlineStr">
        <is>
          <t>Money -Tiny (2.5%T) repair</t>
        </is>
      </c>
      <c r="H47" s="23" t="inlineStr">
        <is>
          <t>It was face-down. You knew.</t>
        </is>
      </c>
    </row>
    <row r="48" ht="15" customHeight="1" s="24">
      <c r="A48" s="23" t="inlineStr">
        <is>
          <t>E10</t>
        </is>
      </c>
      <c r="B48" s="23" t="inlineStr">
        <is>
          <t>WARRANTY WINDFALL</t>
        </is>
      </c>
      <c r="C48" s="23" t="inlineStr">
        <is>
          <t>Event</t>
        </is>
      </c>
      <c r="D48" s="23" t="inlineStr">
        <is>
          <t>Positive</t>
        </is>
      </c>
      <c r="E48" s="23" t="inlineStr">
        <is>
          <t>Minor</t>
        </is>
      </c>
      <c r="F48" s="23" t="inlineStr">
        <is>
          <t>Owns any Tech or Appliance</t>
        </is>
      </c>
      <c r="G48" s="23" t="inlineStr">
        <is>
          <t>Money +Tiny (2.5%T)</t>
        </is>
      </c>
      <c r="H48" s="23" t="inlineStr">
        <is>
          <t>The extended warranty finally paid off.</t>
        </is>
      </c>
    </row>
    <row r="49" ht="15" customHeight="1" s="24">
      <c r="A49" s="23" t="inlineStr">
        <is>
          <t>E11</t>
        </is>
      </c>
      <c r="B49" s="23" t="inlineStr">
        <is>
          <t>FRIDGE DIED OVER THE WEEKEND</t>
        </is>
      </c>
      <c r="C49" s="23" t="inlineStr">
        <is>
          <t>Event</t>
        </is>
      </c>
      <c r="D49" s="23" t="inlineStr">
        <is>
          <t>Negative</t>
        </is>
      </c>
      <c r="E49" s="23" t="inlineStr">
        <is>
          <t>Major</t>
        </is>
      </c>
      <c r="F49" s="23" t="inlineStr">
        <is>
          <t>Owns Fridge</t>
        </is>
      </c>
      <c r="G49" s="23" t="inlineStr">
        <is>
          <t>Money -Standard (5%T); stored groceries spoiled (food stock cleared)</t>
        </is>
      </c>
      <c r="H49" s="23" t="inlineStr">
        <is>
          <t>Everything smells like regret.</t>
        </is>
      </c>
    </row>
    <row r="50" ht="15" customHeight="1" s="24">
      <c r="A50" s="23" t="inlineStr">
        <is>
          <t>E12</t>
        </is>
      </c>
      <c r="B50" s="23" t="inlineStr">
        <is>
          <t>VIRAL UNBOXING</t>
        </is>
      </c>
      <c r="C50" s="23" t="inlineStr">
        <is>
          <t>Event</t>
        </is>
      </c>
      <c r="D50" s="23" t="inlineStr">
        <is>
          <t>Positive</t>
        </is>
      </c>
      <c r="E50" s="23" t="inlineStr">
        <is>
          <t>Minor</t>
        </is>
      </c>
      <c r="F50" s="23" t="inlineStr">
        <is>
          <t>Owns any Tech item</t>
        </is>
      </c>
      <c r="G50" s="23" t="inlineStr">
        <is>
          <t>Coolness +Tiny (2.5%T)</t>
        </is>
      </c>
      <c r="H50" s="23" t="inlineStr">
        <is>
          <t>The algorithm smiled upon you.</t>
        </is>
      </c>
    </row>
    <row r="51" ht="15" customHeight="1" s="24">
      <c r="A51" s="23" t="inlineStr">
        <is>
          <t>E13</t>
        </is>
      </c>
      <c r="B51" s="23" t="inlineStr">
        <is>
          <t>OVERTIME BONUS</t>
        </is>
      </c>
      <c r="C51" s="23" t="inlineStr">
        <is>
          <t>Event</t>
        </is>
      </c>
      <c r="D51" s="23" t="inlineStr">
        <is>
          <t>Positive</t>
        </is>
      </c>
      <c r="E51" s="23" t="inlineStr">
        <is>
          <t>Minor</t>
        </is>
      </c>
      <c r="F51" s="23" t="inlineStr">
        <is>
          <t>Employed</t>
        </is>
      </c>
      <c r="G51" s="23" t="inlineStr">
        <is>
          <t>Money +Standard (5%T)</t>
        </is>
      </c>
      <c r="H51" s="23" t="inlineStr">
        <is>
          <t>Payroll made a mistake in your favor. Legally.</t>
        </is>
      </c>
    </row>
    <row r="52" ht="15" customHeight="1" s="24">
      <c r="A52" s="23" t="inlineStr">
        <is>
          <t>E14</t>
        </is>
      </c>
      <c r="B52" s="23" t="inlineStr">
        <is>
          <t>BOSS SAW YOUR MEME</t>
        </is>
      </c>
      <c r="C52" s="23" t="inlineStr">
        <is>
          <t>Event</t>
        </is>
      </c>
      <c r="D52" s="23" t="inlineStr">
        <is>
          <t>Negative</t>
        </is>
      </c>
      <c r="E52" s="23" t="inlineStr">
        <is>
          <t>Minor</t>
        </is>
      </c>
      <c r="F52" s="23" t="inlineStr">
        <is>
          <t>Employed</t>
        </is>
      </c>
      <c r="G52" s="23" t="inlineStr">
        <is>
          <t>Career -Tiny (2.5%T)</t>
        </is>
      </c>
      <c r="H52" s="23" t="inlineStr">
        <is>
          <t>It was about the boss.</t>
        </is>
      </c>
    </row>
    <row r="53" ht="15" customHeight="1" s="24">
      <c r="A53" s="23" t="inlineStr">
        <is>
          <t>E15</t>
        </is>
      </c>
      <c r="B53" s="23" t="inlineStr">
        <is>
          <t>SURPRISE PROMOTION</t>
        </is>
      </c>
      <c r="C53" s="23" t="inlineStr">
        <is>
          <t>Event</t>
        </is>
      </c>
      <c r="D53" s="23" t="inlineStr">
        <is>
          <t>Positive</t>
        </is>
      </c>
      <c r="E53" s="23" t="inlineStr">
        <is>
          <t>Major</t>
        </is>
      </c>
      <c r="F53" s="23" t="inlineStr">
        <is>
          <t>Employed</t>
        </is>
      </c>
      <c r="G53" s="23" t="inlineStr">
        <is>
          <t>Career +Strong (8%T)</t>
        </is>
      </c>
      <c r="H53" s="23" t="inlineStr">
        <is>
          <t>Someone quit. You were standing nearby.</t>
        </is>
      </c>
    </row>
    <row r="54" ht="15" customHeight="1" s="24">
      <c r="A54" s="23" t="inlineStr">
        <is>
          <t>E16</t>
        </is>
      </c>
      <c r="B54" s="23" t="inlineStr">
        <is>
          <t>LAYOFF SCARE</t>
        </is>
      </c>
      <c r="C54" s="23" t="inlineStr">
        <is>
          <t>Event</t>
        </is>
      </c>
      <c r="D54" s="23" t="inlineStr">
        <is>
          <t>Negative</t>
        </is>
      </c>
      <c r="E54" s="23" t="inlineStr">
        <is>
          <t>Major</t>
        </is>
      </c>
      <c r="F54" s="23" t="inlineStr">
        <is>
          <t>Employed</t>
        </is>
      </c>
      <c r="G54" s="23" t="inlineStr">
        <is>
          <t>Career -Strong (8%T), Happiness -Tiny (2.5%T)</t>
        </is>
      </c>
      <c r="H54" s="23" t="inlineStr">
        <is>
          <t>The all-hands meeting had donuts. Bad sign.</t>
        </is>
      </c>
    </row>
    <row r="55" ht="15" customHeight="1" s="24">
      <c r="A55" s="23" t="inlineStr">
        <is>
          <t>E17</t>
        </is>
      </c>
      <c r="B55" s="23" t="inlineStr">
        <is>
          <t>OLD FRIEND CALLED</t>
        </is>
      </c>
      <c r="C55" s="23" t="inlineStr">
        <is>
          <t>Event</t>
        </is>
      </c>
      <c r="D55" s="23" t="inlineStr">
        <is>
          <t>Positive</t>
        </is>
      </c>
      <c r="E55" s="23" t="inlineStr">
        <is>
          <t>Minor</t>
        </is>
      </c>
      <c r="F55" s="23" t="inlineStr">
        <is>
          <t>None</t>
        </is>
      </c>
      <c r="G55" s="23" t="inlineStr">
        <is>
          <t>Connection +Tiny (2.5%T)</t>
        </is>
      </c>
      <c r="H55" s="23" t="inlineStr">
        <is>
          <t>They only wanted to catch up. Suspicious.</t>
        </is>
      </c>
    </row>
    <row r="56" ht="15" customHeight="1" s="24">
      <c r="A56" s="23" t="inlineStr">
        <is>
          <t>E18</t>
        </is>
      </c>
      <c r="B56" s="23" t="inlineStr">
        <is>
          <t>TAGGED IN AN EMBARRASSING PHOTO</t>
        </is>
      </c>
      <c r="C56" s="23" t="inlineStr">
        <is>
          <t>Event</t>
        </is>
      </c>
      <c r="D56" s="23" t="inlineStr">
        <is>
          <t>Negative</t>
        </is>
      </c>
      <c r="E56" s="23" t="inlineStr">
        <is>
          <t>Minor</t>
        </is>
      </c>
      <c r="F56" s="23" t="inlineStr">
        <is>
          <t>None</t>
        </is>
      </c>
      <c r="G56" s="23" t="inlineStr">
        <is>
          <t>Coolness -Tiny (2.5%T)</t>
        </is>
      </c>
      <c r="H56" s="23" t="inlineStr">
        <is>
          <t>From the club. Obviously.</t>
        </is>
      </c>
    </row>
    <row r="57" ht="15" customHeight="1" s="24">
      <c r="A57" s="23" t="inlineStr">
        <is>
          <t>E19</t>
        </is>
      </c>
      <c r="B57" s="23" t="inlineStr">
        <is>
          <t>WENT VIRAL</t>
        </is>
      </c>
      <c r="C57" s="23" t="inlineStr">
        <is>
          <t>Event</t>
        </is>
      </c>
      <c r="D57" s="23" t="inlineStr">
        <is>
          <t>Positive</t>
        </is>
      </c>
      <c r="E57" s="23" t="inlineStr">
        <is>
          <t>Major</t>
        </is>
      </c>
      <c r="F57" s="23" t="inlineStr">
        <is>
          <t>None</t>
        </is>
      </c>
      <c r="G57" s="23" t="inlineStr">
        <is>
          <t>Coolness +Strong (8%T), Connection +Tiny (2.5%T)</t>
        </is>
      </c>
      <c r="H57" s="23" t="inlineStr">
        <is>
          <t>For something good, even.</t>
        </is>
      </c>
    </row>
    <row r="58" ht="15" customHeight="1" s="24">
      <c r="A58" s="23" t="inlineStr">
        <is>
          <t>E20</t>
        </is>
      </c>
      <c r="B58" s="23" t="inlineStr">
        <is>
          <t>BLIND DATE PLOT TWIST</t>
        </is>
      </c>
      <c r="C58" s="23" t="inlineStr">
        <is>
          <t>Event</t>
        </is>
      </c>
      <c r="D58" s="23" t="inlineStr">
        <is>
          <t>Positive</t>
        </is>
      </c>
      <c r="E58" s="23" t="inlineStr">
        <is>
          <t>Minor</t>
        </is>
      </c>
      <c r="F58" s="23" t="inlineStr">
        <is>
          <t>None</t>
        </is>
      </c>
      <c r="G58" s="23" t="inlineStr">
        <is>
          <t>Connection +Standard (5%T), Happiness -Tiny (2.5%T)</t>
        </is>
      </c>
      <c r="H58" s="23" t="inlineStr">
        <is>
          <t>Your blind date looks a bit different from the pictures.</t>
        </is>
      </c>
    </row>
    <row r="59" ht="15" customHeight="1" s="24">
      <c r="A59" s="23" t="inlineStr">
        <is>
          <t>E21</t>
        </is>
      </c>
      <c r="B59" s="23" t="inlineStr">
        <is>
          <t>FOOD POISONING</t>
        </is>
      </c>
      <c r="C59" s="23" t="inlineStr">
        <is>
          <t>Event</t>
        </is>
      </c>
      <c r="D59" s="23" t="inlineStr">
        <is>
          <t>Negative</t>
        </is>
      </c>
      <c r="E59" s="23" t="inlineStr">
        <is>
          <t>Minor</t>
        </is>
      </c>
      <c r="F59" s="23" t="inlineStr">
        <is>
          <t>Ate at Regret Burger last turn</t>
        </is>
      </c>
      <c r="G59" s="23" t="inlineStr">
        <is>
          <t>Health -Standard (5%T)</t>
        </is>
      </c>
      <c r="H59" s="23" t="inlineStr">
        <is>
          <t>The Shame Shake strikes back.</t>
        </is>
      </c>
    </row>
    <row r="60" ht="15" customHeight="1" s="24">
      <c r="A60" s="23" t="inlineStr">
        <is>
          <t>E22</t>
        </is>
      </c>
      <c r="B60" s="23" t="inlineStr">
        <is>
          <t>GYM GAINS NOTICED</t>
        </is>
      </c>
      <c r="C60" s="23" t="inlineStr">
        <is>
          <t>Event</t>
        </is>
      </c>
      <c r="D60" s="23" t="inlineStr">
        <is>
          <t>Positive</t>
        </is>
      </c>
      <c r="E60" s="23" t="inlineStr">
        <is>
          <t>Minor</t>
        </is>
      </c>
      <c r="F60" s="23" t="inlineStr">
        <is>
          <t>Visited Bro Science Gym last turn</t>
        </is>
      </c>
      <c r="G60" s="23" t="inlineStr">
        <is>
          <t>Coolness +Tiny (2.5%T)</t>
        </is>
      </c>
      <c r="H60" s="23" t="inlineStr">
        <is>
          <t>Someone asked if you even lift. You do.</t>
        </is>
      </c>
    </row>
    <row r="61" ht="15" customHeight="1" s="24">
      <c r="A61" s="23" t="inlineStr">
        <is>
          <t>E23</t>
        </is>
      </c>
      <c r="B61" s="23" t="inlineStr">
        <is>
          <t>DOOMSCROLLED ALL WEEKEND</t>
        </is>
      </c>
      <c r="C61" s="23" t="inlineStr">
        <is>
          <t>Event</t>
        </is>
      </c>
      <c r="D61" s="23" t="inlineStr">
        <is>
          <t>Negative</t>
        </is>
      </c>
      <c r="E61" s="23" t="inlineStr">
        <is>
          <t>Minor</t>
        </is>
      </c>
      <c r="F61" s="23" t="inlineStr">
        <is>
          <t>None</t>
        </is>
      </c>
      <c r="G61" s="23" t="inlineStr">
        <is>
          <t>Critical Thinking -Tiny (2.5%T), Health -Tiny (2.5%T)</t>
        </is>
      </c>
      <c r="H61" s="23" t="inlineStr">
        <is>
          <t>Just one more video.</t>
        </is>
      </c>
    </row>
    <row r="62" ht="15" customHeight="1" s="24">
      <c r="A62" s="23" t="inlineStr">
        <is>
          <t>E24</t>
        </is>
      </c>
      <c r="B62" s="23" t="inlineStr">
        <is>
          <t>VIVID DREAM OF MEANING</t>
        </is>
      </c>
      <c r="C62" s="23" t="inlineStr">
        <is>
          <t>Event</t>
        </is>
      </c>
      <c r="D62" s="23" t="inlineStr">
        <is>
          <t>Positive</t>
        </is>
      </c>
      <c r="E62" s="23" t="inlineStr">
        <is>
          <t>Minor</t>
        </is>
      </c>
      <c r="F62" s="23" t="inlineStr">
        <is>
          <t>None</t>
        </is>
      </c>
      <c r="G62" s="23" t="inlineStr">
        <is>
          <t>Enlightenment +Tiny (2.5%T)</t>
        </is>
      </c>
      <c r="H62" s="23" t="inlineStr">
        <is>
          <t>You almost remember what it said.</t>
        </is>
      </c>
    </row>
    <row r="63" ht="15" customHeight="1" s="24">
      <c r="A63" s="23" t="inlineStr">
        <is>
          <t>E25</t>
        </is>
      </c>
      <c r="B63" s="23" t="inlineStr">
        <is>
          <t>LANDLORD RAISED THE RENT</t>
        </is>
      </c>
      <c r="C63" s="23" t="inlineStr">
        <is>
          <t>Event</t>
        </is>
      </c>
      <c r="D63" s="23" t="inlineStr">
        <is>
          <t>Negative</t>
        </is>
      </c>
      <c r="E63" s="23" t="inlineStr">
        <is>
          <t>Major</t>
        </is>
      </c>
      <c r="F63" s="23" t="inlineStr">
        <is>
          <t>Not homeless</t>
        </is>
      </c>
      <c r="G63" s="23" t="inlineStr">
        <is>
          <t>Next rent payment costs +25%</t>
        </is>
      </c>
      <c r="H63" s="23" t="inlineStr">
        <is>
          <t>There was a letter. It used the word 'unfortunately'.</t>
        </is>
      </c>
    </row>
    <row r="64" ht="15" customHeight="1" s="24">
      <c r="A64" s="23" t="inlineStr">
        <is>
          <t>E26</t>
        </is>
      </c>
      <c r="B64" s="23" t="inlineStr">
        <is>
          <t>RENT REBATE</t>
        </is>
      </c>
      <c r="C64" s="23" t="inlineStr">
        <is>
          <t>Event</t>
        </is>
      </c>
      <c r="D64" s="23" t="inlineStr">
        <is>
          <t>Positive</t>
        </is>
      </c>
      <c r="E64" s="23" t="inlineStr">
        <is>
          <t>Major</t>
        </is>
      </c>
      <c r="F64" s="23" t="inlineStr">
        <is>
          <t>Not homeless</t>
        </is>
      </c>
      <c r="G64" s="23" t="inlineStr">
        <is>
          <t>Next rent payment costs -50%</t>
        </is>
      </c>
      <c r="H64" s="23" t="inlineStr">
        <is>
          <t>A clerical error you will not be reporting.</t>
        </is>
      </c>
    </row>
    <row r="65" ht="15" customHeight="1" s="24">
      <c r="A65" s="23" t="inlineStr">
        <is>
          <t>E27</t>
        </is>
      </c>
      <c r="B65" s="23" t="inlineStr">
        <is>
          <t>PET DID SOMETHING ADORABLE</t>
        </is>
      </c>
      <c r="C65" s="23" t="inlineStr">
        <is>
          <t>Event</t>
        </is>
      </c>
      <c r="D65" s="23" t="inlineStr">
        <is>
          <t>Positive</t>
        </is>
      </c>
      <c r="E65" s="23" t="inlineStr">
        <is>
          <t>Minor</t>
        </is>
      </c>
      <c r="F65" s="23" t="inlineStr">
        <is>
          <t>Has living pet</t>
        </is>
      </c>
      <c r="G65" s="23" t="inlineStr">
        <is>
          <t>Happiness +Tiny (2.5%T), Pet Happiness +Tiny (2.5%T)</t>
        </is>
      </c>
      <c r="H65" s="23" t="inlineStr">
        <is>
          <t>You took 47 photos.</t>
        </is>
      </c>
    </row>
    <row r="66" ht="15" customHeight="1" s="24">
      <c r="A66" s="23" t="inlineStr">
        <is>
          <t>E28</t>
        </is>
      </c>
      <c r="B66" s="23" t="inlineStr">
        <is>
          <t>PET CHEWED YOUR STUFF</t>
        </is>
      </c>
      <c r="C66" s="23" t="inlineStr">
        <is>
          <t>Event</t>
        </is>
      </c>
      <c r="D66" s="23" t="inlineStr">
        <is>
          <t>Negative</t>
        </is>
      </c>
      <c r="E66" s="23" t="inlineStr">
        <is>
          <t>Minor</t>
        </is>
      </c>
      <c r="F66" s="23" t="inlineStr">
        <is>
          <t>Has living pet + any Furniture or Tech</t>
        </is>
      </c>
      <c r="G66" s="23" t="inlineStr">
        <is>
          <t>Money -Tiny (2.5%T)</t>
        </is>
      </c>
      <c r="H66" s="23" t="inlineStr">
        <is>
          <t>They looked you in the eye while doing it.</t>
        </is>
      </c>
    </row>
    <row r="67" ht="15" customHeight="1" s="24">
      <c r="A67" s="23" t="inlineStr">
        <is>
          <t>E29</t>
        </is>
      </c>
      <c r="B67" s="23" t="inlineStr">
        <is>
          <t>NOISY NEIGHBORS</t>
        </is>
      </c>
      <c r="C67" s="23" t="inlineStr">
        <is>
          <t>Event</t>
        </is>
      </c>
      <c r="D67" s="23" t="inlineStr">
        <is>
          <t>Negative</t>
        </is>
      </c>
      <c r="E67" s="23" t="inlineStr">
        <is>
          <t>Minor</t>
        </is>
      </c>
      <c r="F67" s="23" t="inlineStr">
        <is>
          <t>Not homeless</t>
        </is>
      </c>
      <c r="G67" s="23" t="inlineStr">
        <is>
          <t>Happiness -Tiny (2.5%T)</t>
        </is>
      </c>
      <c r="H67" s="23" t="inlineStr">
        <is>
          <t>They discovered the karaoke machine.</t>
        </is>
      </c>
    </row>
    <row r="68" ht="15" customHeight="1" s="24">
      <c r="A68" s="23" t="inlineStr">
        <is>
          <t>E30</t>
        </is>
      </c>
    </row>
    <row r="70" ht="15" customHeight="1" s="24">
      <c r="A70" s="23" t="inlineStr">
        <is>
          <t>DESIGN GUARDRAILS: (1) Exactly 1 event card per player per turn — status and investment cards are extra but event-driven. (2) Event effects cap at Premium (12%T) so rubber-banding helps trailing players without deciding the game by itself. (3) Standing weights apply ONLY to card draws and investment resolution, never to base action gains. (4) Weekend Cards can be toggled off in Game Setup for testing.</t>
        </is>
      </c>
    </row>
    <row r="72" ht="15" customHeight="1" s="24">
      <c r="A72" s="26" t="inlineStr">
        <is>
          <t>V4 RULES</t>
        </is>
      </c>
      <c r="B72" s="23" t="inlineStr">
        <is>
          <t>(1) Card effects are NEVER modified by personality, pet, item, or temporary modifiers, and ignore the 1.25x income cap — printed values apply exactly. (2) Exactly 1 event card per turn; status and investment cards are extra. (3) One investment card per HELD ASSET per turn. (4) A player holding all four assets sees four investment cards. (5) Turning Weekend Cards off never changes outcomes, only presentation — investments still resolve silently to the log.</t>
        </is>
      </c>
    </row>
  </sheetData>
  <mergeCells count="4">
    <mergeCell ref="A4:H4"/>
    <mergeCell ref="A20:H20"/>
    <mergeCell ref="A68:H68"/>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G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3" min="1" max="1"/>
    <col width="16" customWidth="1" style="23" min="2" max="4"/>
    <col width="20" customWidth="1" style="23" min="5" max="5"/>
    <col width="12" customWidth="1" style="23" min="6" max="6"/>
    <col width="26" customWidth="1" style="23" min="7" max="7"/>
  </cols>
  <sheetData>
    <row r="1" ht="15" customHeight="1" s="24">
      <c r="A1" s="26" t="inlineStr">
        <is>
          <t>INVESTMENT ASSET LIFECYCLE (locked in v4). This sheet closes the largest open design gap: v3 never defined what a 'held asset' actually was.</t>
        </is>
      </c>
    </row>
    <row r="3" ht="15" customHeight="1" s="24">
      <c r="A3" s="31" t="inlineStr">
        <is>
          <t>Asset</t>
        </is>
      </c>
      <c r="B3" s="31" t="inlineStr">
        <is>
          <t>Principal (cost)</t>
        </is>
      </c>
      <c r="C3" s="31" t="inlineStr">
        <is>
          <t>Per-turn outcome</t>
        </is>
      </c>
      <c r="D3" s="31" t="inlineStr">
        <is>
          <t>Standing-weighted?</t>
        </is>
      </c>
      <c r="E3" s="31" t="inlineStr">
        <is>
          <t>Can be destroyed?</t>
        </is>
      </c>
      <c r="F3" s="31" t="inlineStr">
        <is>
          <t>Max held</t>
        </is>
      </c>
      <c r="G3" s="31" t="inlineStr">
        <is>
          <t>Cash Out returns</t>
        </is>
      </c>
    </row>
    <row r="4" ht="15" customHeight="1" s="24">
      <c r="A4" s="23" t="inlineStr">
        <is>
          <t>Savings</t>
        </is>
      </c>
      <c r="B4" s="23" t="inlineStr">
        <is>
          <t>10%B</t>
        </is>
      </c>
      <c r="C4" s="23" t="inlineStr">
        <is>
          <t>+1%B guaranteed</t>
        </is>
      </c>
      <c r="D4" s="23" t="inlineStr">
        <is>
          <t>No</t>
        </is>
      </c>
      <c r="E4" s="23" t="inlineStr">
        <is>
          <t>No</t>
        </is>
      </c>
      <c r="F4" s="23" t="inlineStr">
        <is>
          <t>1</t>
        </is>
      </c>
      <c r="G4" s="23" t="inlineStr">
        <is>
          <t>100% of principal (10%B)</t>
        </is>
      </c>
    </row>
    <row r="5" ht="15" customHeight="1" s="24">
      <c r="A5" s="23" t="inlineStr">
        <is>
          <t>Bonds</t>
        </is>
      </c>
      <c r="B5" s="23" t="inlineStr">
        <is>
          <t>15%B</t>
        </is>
      </c>
      <c r="C5" s="23" t="inlineStr">
        <is>
          <t>+2%B guaranteed</t>
        </is>
      </c>
      <c r="D5" s="23" t="inlineStr">
        <is>
          <t>No</t>
        </is>
      </c>
      <c r="E5" s="23" t="inlineStr">
        <is>
          <t>No</t>
        </is>
      </c>
      <c r="F5" s="23" t="inlineStr">
        <is>
          <t>1</t>
        </is>
      </c>
      <c r="G5" s="23" t="inlineStr">
        <is>
          <t>100% of principal (15%B)</t>
        </is>
      </c>
    </row>
    <row r="6" ht="15" customHeight="1" s="24">
      <c r="A6" s="23" t="inlineStr">
        <is>
          <t>Stocks</t>
        </is>
      </c>
      <c r="B6" s="23" t="inlineStr">
        <is>
          <t>20%B</t>
        </is>
      </c>
      <c r="C6" s="23" t="inlineStr">
        <is>
          <t>Big gain +8%B / small gain +3%B / flat / small loss -3%B / big loss -8%B</t>
        </is>
      </c>
      <c r="D6" s="23" t="inlineStr">
        <is>
          <t>Yes (mild)</t>
        </is>
      </c>
      <c r="E6" s="23" t="inlineStr">
        <is>
          <t>No</t>
        </is>
      </c>
      <c r="F6" s="23" t="inlineStr">
        <is>
          <t>1</t>
        </is>
      </c>
      <c r="G6" s="23" t="inlineStr">
        <is>
          <t>100% of principal (20%B)</t>
        </is>
      </c>
    </row>
    <row r="7" ht="15" customHeight="1" s="24">
      <c r="A7" s="23" t="inlineStr">
        <is>
          <t>Crypto</t>
        </is>
      </c>
      <c r="B7" s="23" t="inlineStr">
        <is>
          <t>25%B</t>
        </is>
      </c>
      <c r="C7" s="23" t="inlineStr">
        <is>
          <t>Big gain +15%B / small swing +/-5%B / RUG PULL destroys holding</t>
        </is>
      </c>
      <c r="D7" s="23" t="inlineStr">
        <is>
          <t>Yes (extreme)</t>
        </is>
      </c>
      <c r="E7" s="23" t="inlineStr">
        <is>
          <t>Yes — rug pull only</t>
        </is>
      </c>
      <c r="F7" s="23" t="inlineStr">
        <is>
          <t>1</t>
        </is>
      </c>
      <c r="G7" s="23" t="inlineStr">
        <is>
          <t>100% of principal (25%B)</t>
        </is>
      </c>
    </row>
    <row r="9" ht="15" customHeight="1" s="24">
      <c r="A9" s="28" t="inlineStr">
        <is>
          <t>RULES</t>
        </is>
      </c>
    </row>
    <row r="10" ht="15" customHeight="1" s="24">
      <c r="A10" s="26" t="inlineStr">
        <is>
          <t>Does buying an asset give Money immediately?</t>
        </is>
      </c>
      <c r="B10" s="23" t="inlineStr">
        <is>
          <t>NO. The purchase cost is the principal being moved into the asset. v3's spreadsheet listed a Money gain on the purchase row, which would have double-counted; those gains are now 0.</t>
        </is>
      </c>
    </row>
    <row r="11" ht="15" customHeight="1" s="24">
      <c r="A11" s="26" t="inlineStr">
        <is>
          <t>Does an asset persist?</t>
        </is>
      </c>
      <c r="B11" s="23" t="inlineStr">
        <is>
          <t>Yes. A holding stays until it is cashed out or destroyed, and draws one outcome card at the start of every one of the owner's turns.</t>
        </is>
      </c>
    </row>
    <row r="12" ht="15" customHeight="1" s="24">
      <c r="A12" s="26" t="inlineStr">
        <is>
          <t>Can a player own more than one of the same asset?</t>
        </is>
      </c>
      <c r="B12" s="23" t="inlineStr">
        <is>
          <t>No. Maximum one holding per asset type. This is what prevents the savings/bonds spam exploit.</t>
        </is>
      </c>
    </row>
    <row r="13" ht="15" customHeight="1" s="24">
      <c r="A13" s="26" t="inlineStr">
        <is>
          <t>Can a player own all four at once?</t>
        </is>
      </c>
      <c r="B13" s="23" t="inlineStr">
        <is>
          <t>Yes. All four can be held simultaneously, producing four investment cards per turn. Total principal for the full portfolio is 70%B.</t>
        </is>
      </c>
    </row>
    <row r="14" ht="15" customHeight="1" s="24">
      <c r="A14" s="26" t="inlineStr">
        <is>
          <t>Can assets be sold?</t>
        </is>
      </c>
      <c r="B14" s="23" t="inlineStr">
        <is>
          <t>Yes. The Cash Out Investment action at Debtstreet Capital (1 Time Unit) sells one holding and returns 100% of its principal.</t>
        </is>
      </c>
    </row>
    <row r="15" ht="15" customHeight="1" s="24">
      <c r="A15" s="26" t="inlineStr">
        <is>
          <t>Does a loss destroy the investment?</t>
        </is>
      </c>
      <c r="B15" s="23" t="inlineStr">
        <is>
          <t>Only a crypto RUG PULL destroys a holding (principal lost). Every other loss is a Money deduction; the holding survives and keeps drawing cards.</t>
        </is>
      </c>
    </row>
    <row r="16" ht="15" customHeight="1" s="24">
      <c r="A16" s="26" t="inlineStr">
        <is>
          <t>What happens on a Big Loss if the player is INFORMED?</t>
        </is>
      </c>
      <c r="B16" s="23" t="inlineStr">
        <is>
          <t>The Big Loss is downgraded to a Small Loss and the INFORMED status is consumed. For crypto this means the holding is NOT destroyed.</t>
        </is>
      </c>
    </row>
    <row r="17" ht="15" customHeight="1" s="24">
      <c r="A17" s="26" t="inlineStr">
        <is>
          <t>Do returns compound?</t>
        </is>
      </c>
      <c r="B17" s="23" t="inlineStr">
        <is>
          <t>No. Returns are always a flat percentage of B, never a percentage of accumulated winnings. This keeps late-game money bounded.</t>
        </is>
      </c>
    </row>
    <row r="18" ht="15" customHeight="1" s="24">
      <c r="A18" s="26" t="inlineStr">
        <is>
          <t>Do card returns get personality/pet/item modifiers?</t>
        </is>
      </c>
      <c r="B18" s="23" t="inlineStr">
        <is>
          <t>No. See the card effect modifier rule in Settings.</t>
        </is>
      </c>
    </row>
    <row r="19" ht="15" customHeight="1" s="24">
      <c r="A19" s="26" t="inlineStr">
        <is>
          <t>What if the player cannot afford the principal?</t>
        </is>
      </c>
      <c r="B19" s="23" t="inlineStr">
        <is>
          <t>The purchase action is unavailable (greyed out), like any other action they cannot afford.</t>
        </is>
      </c>
    </row>
    <row r="21" ht="15" customHeight="1" s="24">
      <c r="A21" s="28" t="inlineStr">
        <is>
          <t>EXPECTED VALUE PER TURN (design check, %B)</t>
        </is>
      </c>
    </row>
    <row r="22" ht="15" customHeight="1" s="24">
      <c r="A22" s="31" t="inlineStr">
        <is>
          <t>Asset</t>
        </is>
      </c>
      <c r="B22" s="31" t="inlineStr">
        <is>
          <t>Last place</t>
        </is>
      </c>
      <c r="C22" s="31" t="inlineStr">
        <is>
          <t>2nd / 3rd</t>
        </is>
      </c>
      <c r="D22" s="31" t="inlineStr">
        <is>
          <t>1st place</t>
        </is>
      </c>
      <c r="E22" s="31" t="inlineStr">
        <is>
          <t>Comment</t>
        </is>
      </c>
    </row>
    <row r="23" ht="15" customHeight="1" s="24">
      <c r="A23" s="23" t="inlineStr">
        <is>
          <t>Savings</t>
        </is>
      </c>
      <c r="B23" s="23" t="inlineStr">
        <is>
          <t>+1.0</t>
        </is>
      </c>
      <c r="C23" s="23" t="inlineStr">
        <is>
          <t>+1.0</t>
        </is>
      </c>
      <c r="D23" s="23" t="inlineStr">
        <is>
          <t>+1.0</t>
        </is>
      </c>
      <c r="E23" s="23" t="inlineStr">
        <is>
          <t>Flat and safe in every position</t>
        </is>
      </c>
    </row>
    <row r="24" ht="15" customHeight="1" s="24">
      <c r="A24" s="23" t="inlineStr">
        <is>
          <t>Bonds</t>
        </is>
      </c>
      <c r="B24" s="23" t="inlineStr">
        <is>
          <t>+2.0</t>
        </is>
      </c>
      <c r="C24" s="23" t="inlineStr">
        <is>
          <t>+2.0</t>
        </is>
      </c>
      <c r="D24" s="23" t="inlineStr">
        <is>
          <t>+2.0</t>
        </is>
      </c>
      <c r="E24" s="23" t="inlineStr">
        <is>
          <t>Flat and safe in every position</t>
        </is>
      </c>
    </row>
    <row r="25" ht="15" customHeight="1" s="24">
      <c r="A25" s="23" t="inlineStr">
        <is>
          <t>Stocks</t>
        </is>
      </c>
      <c r="B25" s="23" t="inlineStr">
        <is>
          <t>+1.8</t>
        </is>
      </c>
      <c r="C25" s="23" t="inlineStr">
        <is>
          <t>0.0</t>
        </is>
      </c>
      <c r="D25" s="23" t="inlineStr">
        <is>
          <t>-1.8</t>
        </is>
      </c>
      <c r="E25" s="23" t="inlineStr">
        <is>
          <t>Mild tilt; genuinely neutral for mid-table</t>
        </is>
      </c>
    </row>
    <row r="26" ht="15" customHeight="1" s="24">
      <c r="A26" s="23" t="inlineStr">
        <is>
          <t>Crypto</t>
        </is>
      </c>
      <c r="B26" s="23" t="inlineStr">
        <is>
          <t>+6.0</t>
        </is>
      </c>
      <c r="C26" s="23" t="inlineStr">
        <is>
          <t>-1.3</t>
        </is>
      </c>
      <c r="D26" s="23" t="inlineStr">
        <is>
          <t>-11.0</t>
        </is>
      </c>
      <c r="E26" s="23" t="inlineStr">
        <is>
          <t>Extreme. A strong comeback tool and a real trap for the leader</t>
        </is>
      </c>
    </row>
    <row r="27" ht="15" customHeight="1" s="24">
      <c r="A27" s="23" t="inlineStr">
        <is>
          <t>Read: the leader's rational play is bonds/savings; crypto is a gamble they should usually avoid or cash out. The trailing player has a genuine high-variance comeback lever. That is the intended shape.</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J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3" min="1" max="1"/>
    <col width="24" customWidth="1" style="23" min="2" max="2"/>
    <col width="9" customWidth="1" style="23" min="3" max="3"/>
    <col width="30" customWidth="1" style="23" min="4" max="4"/>
    <col width="14" customWidth="1" style="23" min="5" max="5"/>
    <col width="10" customWidth="1" style="23" min="6" max="6"/>
    <col width="18" customWidth="1" style="23" min="7" max="7"/>
    <col width="16" customWidth="1" style="23" min="8" max="8"/>
    <col width="20" customWidth="1" style="23" min="9" max="9"/>
    <col width="14" customWidth="1" style="23" min="10" max="10"/>
  </cols>
  <sheetData>
    <row r="1" ht="15" customHeight="1" s="24">
      <c r="A1" s="26" t="inlineStr">
        <is>
          <t>HIGH IQ UNIVERSITY — 5 PATHS, 30 COURSES (new in v5). A 'click' is one study interaction costing 1 Time Unit. Course cost is paid once, on starting the course. Courses unlock strictly in order within a path; a path unlocks when the previous path is fully complete. Each course can be completed only once and greys out afterwards.</t>
        </is>
      </c>
    </row>
    <row r="3" ht="15" customHeight="1" s="24">
      <c r="A3" s="31" t="inlineStr">
        <is>
          <t>Path</t>
        </is>
      </c>
      <c r="B3" s="31" t="inlineStr">
        <is>
          <t>Level Name</t>
        </is>
      </c>
      <c r="C3" s="31" t="inlineStr">
        <is>
          <t>Course #</t>
        </is>
      </c>
      <c r="D3" s="31" t="inlineStr">
        <is>
          <t>Course</t>
        </is>
      </c>
      <c r="E3" s="31" t="inlineStr">
        <is>
          <t>Cost $ (Short)</t>
        </is>
      </c>
      <c r="F3" s="31" t="inlineStr">
        <is>
          <t>Cost %B</t>
        </is>
      </c>
      <c r="G3" s="31" t="inlineStr">
        <is>
          <t>Clicks (Time Units)</t>
        </is>
      </c>
      <c r="H3" s="31" t="inlineStr">
        <is>
          <t>Unlocks job tier</t>
        </is>
      </c>
      <c r="I3" s="31" t="inlineStr">
        <is>
          <t>Critical Thinking gain</t>
        </is>
      </c>
      <c r="J3" s="31" t="inlineStr">
        <is>
          <t>Career gain</t>
        </is>
      </c>
    </row>
    <row r="4" ht="15" customHeight="1" s="24">
      <c r="A4" s="23" t="n">
        <v>1</v>
      </c>
      <c r="B4" s="23" t="inlineStr">
        <is>
          <t>Technical Certification</t>
        </is>
      </c>
      <c r="C4" s="23" t="n">
        <v>1</v>
      </c>
      <c r="D4" s="23" t="inlineStr">
        <is>
          <t>Serving 101</t>
        </is>
      </c>
      <c r="E4" s="23" t="n">
        <v>50</v>
      </c>
      <c r="F4" s="23" t="n">
        <v>0.5</v>
      </c>
      <c r="G4" s="23" t="n">
        <v>1</v>
      </c>
      <c r="H4" s="23" t="inlineStr">
        <is>
          <t>Low+</t>
        </is>
      </c>
      <c r="I4" s="23" t="n">
        <v>0.02</v>
      </c>
      <c r="J4" s="37" t="n">
        <v>0.005</v>
      </c>
    </row>
    <row r="5" ht="15" customHeight="1" s="24">
      <c r="A5" s="23" t="n">
        <v>1</v>
      </c>
      <c r="B5" s="23" t="inlineStr">
        <is>
          <t>Technical Certification</t>
        </is>
      </c>
      <c r="C5" s="23" t="n">
        <v>2</v>
      </c>
      <c r="D5" s="23" t="inlineStr">
        <is>
          <t>Money Handling 101</t>
        </is>
      </c>
      <c r="E5" s="23" t="n">
        <v>50</v>
      </c>
      <c r="F5" s="23" t="n">
        <v>0.5</v>
      </c>
      <c r="G5" s="23" t="n">
        <v>1</v>
      </c>
      <c r="H5" s="23" t="inlineStr">
        <is>
          <t>Low+</t>
        </is>
      </c>
      <c r="I5" s="23" t="n">
        <v>0.02</v>
      </c>
      <c r="J5" s="37" t="n">
        <v>0.005</v>
      </c>
    </row>
    <row r="6" ht="15" customHeight="1" s="24">
      <c r="A6" s="23" t="n">
        <v>1</v>
      </c>
      <c r="B6" s="23" t="inlineStr">
        <is>
          <t>Technical Certification</t>
        </is>
      </c>
      <c r="C6" s="23" t="n">
        <v>3</v>
      </c>
      <c r="D6" s="23" t="inlineStr">
        <is>
          <t>Customer Service 101</t>
        </is>
      </c>
      <c r="E6" s="23" t="n">
        <v>50</v>
      </c>
      <c r="F6" s="23" t="n">
        <v>0.5</v>
      </c>
      <c r="G6" s="23" t="n">
        <v>1</v>
      </c>
      <c r="H6" s="23" t="inlineStr">
        <is>
          <t>Low+</t>
        </is>
      </c>
      <c r="I6" s="23" t="n">
        <v>0.02</v>
      </c>
      <c r="J6" s="37" t="n">
        <v>0.005</v>
      </c>
    </row>
    <row r="7" ht="15" customHeight="1" s="24">
      <c r="A7" s="23" t="n">
        <v>1</v>
      </c>
      <c r="B7" s="23" t="inlineStr">
        <is>
          <t>Technical Certification</t>
        </is>
      </c>
      <c r="C7" s="23" t="n">
        <v>4</v>
      </c>
      <c r="D7" s="23" t="inlineStr">
        <is>
          <t>Repairs 101</t>
        </is>
      </c>
      <c r="E7" s="23" t="n">
        <v>50</v>
      </c>
      <c r="F7" s="23" t="n">
        <v>0.5</v>
      </c>
      <c r="G7" s="23" t="n">
        <v>1</v>
      </c>
      <c r="H7" s="23" t="inlineStr">
        <is>
          <t>Low+</t>
        </is>
      </c>
      <c r="I7" s="23" t="n">
        <v>0.02</v>
      </c>
      <c r="J7" s="37" t="n">
        <v>0.005</v>
      </c>
    </row>
    <row r="8" ht="15" customHeight="1" s="24">
      <c r="A8" s="23" t="n">
        <v>1</v>
      </c>
      <c r="B8" s="23" t="inlineStr">
        <is>
          <t>Technical Certification</t>
        </is>
      </c>
      <c r="C8" s="23" t="n">
        <v>5</v>
      </c>
      <c r="D8" s="23" t="inlineStr">
        <is>
          <t>Maintenance 101</t>
        </is>
      </c>
      <c r="E8" s="23" t="n">
        <v>50</v>
      </c>
      <c r="F8" s="23" t="n">
        <v>0.5</v>
      </c>
      <c r="G8" s="23" t="n">
        <v>1</v>
      </c>
      <c r="H8" s="23" t="inlineStr">
        <is>
          <t>Low+</t>
        </is>
      </c>
      <c r="I8" s="23" t="n">
        <v>0.02</v>
      </c>
      <c r="J8" s="37" t="n">
        <v>0.005</v>
      </c>
    </row>
    <row r="9" ht="15" customHeight="1" s="24">
      <c r="A9" s="23" t="n">
        <v>1</v>
      </c>
      <c r="B9" s="23" t="inlineStr">
        <is>
          <t>Technical Certification</t>
        </is>
      </c>
      <c r="C9" s="23" t="n">
        <v>6</v>
      </c>
      <c r="D9" s="23" t="inlineStr">
        <is>
          <t>First Aid and CPR 101</t>
        </is>
      </c>
      <c r="E9" s="23" t="n">
        <v>50</v>
      </c>
      <c r="F9" s="23" t="n">
        <v>0.5</v>
      </c>
      <c r="G9" s="23" t="n">
        <v>1</v>
      </c>
      <c r="H9" s="23" t="inlineStr">
        <is>
          <t>Low+</t>
        </is>
      </c>
      <c r="I9" s="23" t="n">
        <v>0.02</v>
      </c>
      <c r="J9" s="37" t="n">
        <v>0.005</v>
      </c>
    </row>
    <row r="10" ht="15" customHeight="1" s="24">
      <c r="A10" s="23" t="n">
        <v>2</v>
      </c>
      <c r="B10" s="23" t="inlineStr">
        <is>
          <t>College Diploma</t>
        </is>
      </c>
      <c r="C10" s="23" t="n">
        <v>1</v>
      </c>
      <c r="D10" s="23" t="inlineStr">
        <is>
          <t>Marketing 201</t>
        </is>
      </c>
      <c r="E10" s="23" t="n">
        <v>100</v>
      </c>
      <c r="F10" s="23" t="n">
        <v>1</v>
      </c>
      <c r="G10" s="23" t="n">
        <v>2</v>
      </c>
      <c r="H10" s="23" t="inlineStr">
        <is>
          <t>Mid</t>
        </is>
      </c>
      <c r="I10" s="23" t="n">
        <v>0.03</v>
      </c>
      <c r="J10" s="37" t="n">
        <v>0.01</v>
      </c>
    </row>
    <row r="11" ht="15" customHeight="1" s="24">
      <c r="A11" s="23" t="n">
        <v>2</v>
      </c>
      <c r="B11" s="23" t="inlineStr">
        <is>
          <t>College Diploma</t>
        </is>
      </c>
      <c r="C11" s="23" t="n">
        <v>2</v>
      </c>
      <c r="D11" s="23" t="inlineStr">
        <is>
          <t>Business Admin 201</t>
        </is>
      </c>
      <c r="E11" s="23" t="n">
        <v>100</v>
      </c>
      <c r="F11" s="23" t="n">
        <v>1</v>
      </c>
      <c r="G11" s="23" t="n">
        <v>2</v>
      </c>
      <c r="H11" s="23" t="inlineStr">
        <is>
          <t>Mid</t>
        </is>
      </c>
      <c r="I11" s="23" t="n">
        <v>0.03</v>
      </c>
      <c r="J11" s="37" t="n">
        <v>0.01</v>
      </c>
    </row>
    <row r="12" ht="15" customHeight="1" s="24">
      <c r="A12" s="23" t="n">
        <v>2</v>
      </c>
      <c r="B12" s="23" t="inlineStr">
        <is>
          <t>College Diploma</t>
        </is>
      </c>
      <c r="C12" s="23" t="n">
        <v>3</v>
      </c>
      <c r="D12" s="23" t="inlineStr">
        <is>
          <t>Spreadsheet 201</t>
        </is>
      </c>
      <c r="E12" s="23" t="n">
        <v>100</v>
      </c>
      <c r="F12" s="23" t="n">
        <v>1</v>
      </c>
      <c r="G12" s="23" t="n">
        <v>2</v>
      </c>
      <c r="H12" s="23" t="inlineStr">
        <is>
          <t>Mid</t>
        </is>
      </c>
      <c r="I12" s="23" t="n">
        <v>0.03</v>
      </c>
      <c r="J12" s="37" t="n">
        <v>0.01</v>
      </c>
    </row>
    <row r="13" ht="15" customHeight="1" s="24">
      <c r="A13" s="23" t="n">
        <v>2</v>
      </c>
      <c r="B13" s="23" t="inlineStr">
        <is>
          <t>College Diploma</t>
        </is>
      </c>
      <c r="C13" s="23" t="n">
        <v>4</v>
      </c>
      <c r="D13" s="23" t="inlineStr">
        <is>
          <t>Accounting 201</t>
        </is>
      </c>
      <c r="E13" s="23" t="n">
        <v>100</v>
      </c>
      <c r="F13" s="23" t="n">
        <v>1</v>
      </c>
      <c r="G13" s="23" t="n">
        <v>2</v>
      </c>
      <c r="H13" s="23" t="inlineStr">
        <is>
          <t>Mid</t>
        </is>
      </c>
      <c r="I13" s="23" t="n">
        <v>0.03</v>
      </c>
      <c r="J13" s="37" t="n">
        <v>0.01</v>
      </c>
    </row>
    <row r="14" ht="15" customHeight="1" s="24">
      <c r="A14" s="23" t="n">
        <v>2</v>
      </c>
      <c r="B14" s="23" t="inlineStr">
        <is>
          <t>College Diploma</t>
        </is>
      </c>
      <c r="C14" s="23" t="n">
        <v>5</v>
      </c>
      <c r="D14" s="23" t="inlineStr">
        <is>
          <t>Human Resources 201</t>
        </is>
      </c>
      <c r="E14" s="23" t="n">
        <v>100</v>
      </c>
      <c r="F14" s="23" t="n">
        <v>1</v>
      </c>
      <c r="G14" s="23" t="n">
        <v>2</v>
      </c>
      <c r="H14" s="23" t="inlineStr">
        <is>
          <t>Mid</t>
        </is>
      </c>
      <c r="I14" s="23" t="n">
        <v>0.03</v>
      </c>
      <c r="J14" s="37" t="n">
        <v>0.01</v>
      </c>
    </row>
    <row r="15" ht="15" customHeight="1" s="24">
      <c r="A15" s="23" t="n">
        <v>2</v>
      </c>
      <c r="B15" s="23" t="inlineStr">
        <is>
          <t>College Diploma</t>
        </is>
      </c>
      <c r="C15" s="23" t="n">
        <v>6</v>
      </c>
      <c r="D15" s="23" t="inlineStr">
        <is>
          <t>Economics 201</t>
        </is>
      </c>
      <c r="E15" s="23" t="n">
        <v>100</v>
      </c>
      <c r="F15" s="23" t="n">
        <v>1</v>
      </c>
      <c r="G15" s="23" t="n">
        <v>2</v>
      </c>
      <c r="H15" s="23" t="inlineStr">
        <is>
          <t>Mid</t>
        </is>
      </c>
      <c r="I15" s="23" t="n">
        <v>0.03</v>
      </c>
      <c r="J15" s="37" t="n">
        <v>0.01</v>
      </c>
    </row>
    <row r="16" ht="15" customHeight="1" s="24">
      <c r="A16" s="23" t="n">
        <v>3</v>
      </c>
      <c r="B16" s="23" t="inlineStr">
        <is>
          <t>College Degree</t>
        </is>
      </c>
      <c r="C16" s="23" t="n">
        <v>1</v>
      </c>
      <c r="D16" s="23" t="inlineStr">
        <is>
          <t>Project Management 301</t>
        </is>
      </c>
      <c r="E16" s="23" t="n">
        <v>150</v>
      </c>
      <c r="F16" s="23" t="n">
        <v>1.5</v>
      </c>
      <c r="G16" s="23" t="n">
        <v>3</v>
      </c>
      <c r="H16" s="23" t="inlineStr">
        <is>
          <t>Mid+</t>
        </is>
      </c>
      <c r="I16" s="23" t="n">
        <v>0.04</v>
      </c>
      <c r="J16" s="37" t="n">
        <v>0.015</v>
      </c>
    </row>
    <row r="17" ht="15" customHeight="1" s="24">
      <c r="A17" s="23" t="n">
        <v>3</v>
      </c>
      <c r="B17" s="23" t="inlineStr">
        <is>
          <t>College Degree</t>
        </is>
      </c>
      <c r="C17" s="23" t="n">
        <v>2</v>
      </c>
      <c r="D17" s="23" t="inlineStr">
        <is>
          <t>Finance 301</t>
        </is>
      </c>
      <c r="E17" s="23" t="n">
        <v>150</v>
      </c>
      <c r="F17" s="23" t="n">
        <v>1.5</v>
      </c>
      <c r="G17" s="23" t="n">
        <v>3</v>
      </c>
      <c r="H17" s="23" t="inlineStr">
        <is>
          <t>Mid+</t>
        </is>
      </c>
      <c r="I17" s="23" t="n">
        <v>0.04</v>
      </c>
      <c r="J17" s="37" t="n">
        <v>0.015</v>
      </c>
    </row>
    <row r="18" ht="15" customHeight="1" s="24">
      <c r="A18" s="23" t="n">
        <v>3</v>
      </c>
      <c r="B18" s="23" t="inlineStr">
        <is>
          <t>College Degree</t>
        </is>
      </c>
      <c r="C18" s="23" t="n">
        <v>3</v>
      </c>
      <c r="D18" s="23" t="inlineStr">
        <is>
          <t>Marketing 301</t>
        </is>
      </c>
      <c r="E18" s="23" t="n">
        <v>150</v>
      </c>
      <c r="F18" s="23" t="n">
        <v>1.5</v>
      </c>
      <c r="G18" s="23" t="n">
        <v>3</v>
      </c>
      <c r="H18" s="23" t="inlineStr">
        <is>
          <t>Mid+</t>
        </is>
      </c>
      <c r="I18" s="23" t="n">
        <v>0.04</v>
      </c>
      <c r="J18" s="37" t="n">
        <v>0.015</v>
      </c>
    </row>
    <row r="19" ht="15" customHeight="1" s="24">
      <c r="A19" s="23" t="n">
        <v>3</v>
      </c>
      <c r="B19" s="23" t="inlineStr">
        <is>
          <t>College Degree</t>
        </is>
      </c>
      <c r="C19" s="23" t="n">
        <v>4</v>
      </c>
      <c r="D19" s="23" t="inlineStr">
        <is>
          <t>Operations Management 301</t>
        </is>
      </c>
      <c r="E19" s="23" t="n">
        <v>150</v>
      </c>
      <c r="F19" s="23" t="n">
        <v>1.5</v>
      </c>
      <c r="G19" s="23" t="n">
        <v>3</v>
      </c>
      <c r="H19" s="23" t="inlineStr">
        <is>
          <t>Mid+</t>
        </is>
      </c>
      <c r="I19" s="23" t="n">
        <v>0.04</v>
      </c>
      <c r="J19" s="37" t="n">
        <v>0.015</v>
      </c>
    </row>
    <row r="20" ht="15" customHeight="1" s="24">
      <c r="A20" s="23" t="n">
        <v>3</v>
      </c>
      <c r="B20" s="23" t="inlineStr">
        <is>
          <t>College Degree</t>
        </is>
      </c>
      <c r="C20" s="23" t="n">
        <v>5</v>
      </c>
      <c r="D20" s="23" t="inlineStr">
        <is>
          <t>Business Ethics 301</t>
        </is>
      </c>
      <c r="E20" s="23" t="n">
        <v>150</v>
      </c>
      <c r="F20" s="23" t="n">
        <v>1.5</v>
      </c>
      <c r="G20" s="23" t="n">
        <v>3</v>
      </c>
      <c r="H20" s="23" t="inlineStr">
        <is>
          <t>Mid+</t>
        </is>
      </c>
      <c r="I20" s="23" t="n">
        <v>0.04</v>
      </c>
      <c r="J20" s="37" t="n">
        <v>0.015</v>
      </c>
    </row>
    <row r="21" ht="15" customHeight="1" s="24">
      <c r="A21" s="23" t="n">
        <v>3</v>
      </c>
      <c r="B21" s="23" t="inlineStr">
        <is>
          <t>College Degree</t>
        </is>
      </c>
      <c r="C21" s="23" t="n">
        <v>6</v>
      </c>
      <c r="D21" s="23" t="inlineStr">
        <is>
          <t>Sales 301</t>
        </is>
      </c>
      <c r="E21" s="23" t="n">
        <v>150</v>
      </c>
      <c r="F21" s="23" t="n">
        <v>1.5</v>
      </c>
      <c r="G21" s="23" t="n">
        <v>3</v>
      </c>
      <c r="H21" s="23" t="inlineStr">
        <is>
          <t>Mid+</t>
        </is>
      </c>
      <c r="I21" s="23" t="n">
        <v>0.04</v>
      </c>
      <c r="J21" s="37" t="n">
        <v>0.015</v>
      </c>
    </row>
    <row r="22" ht="15" customHeight="1" s="24">
      <c r="A22" s="23" t="n">
        <v>4</v>
      </c>
      <c r="B22" s="23" t="inlineStr">
        <is>
          <t>Master's Degree</t>
        </is>
      </c>
      <c r="C22" s="23" t="n">
        <v>1</v>
      </c>
      <c r="D22" s="23" t="inlineStr">
        <is>
          <t>R&amp;D 401</t>
        </is>
      </c>
      <c r="E22" s="23" t="n">
        <v>200</v>
      </c>
      <c r="F22" s="23" t="n">
        <v>2</v>
      </c>
      <c r="G22" s="23" t="n">
        <v>4</v>
      </c>
      <c r="H22" s="23" t="inlineStr">
        <is>
          <t>High</t>
        </is>
      </c>
      <c r="I22" s="23" t="n">
        <v>0.05</v>
      </c>
      <c r="J22" s="37" t="n">
        <v>0.02</v>
      </c>
    </row>
    <row r="23" ht="15" customHeight="1" s="24">
      <c r="A23" s="23" t="n">
        <v>4</v>
      </c>
      <c r="B23" s="23" t="inlineStr">
        <is>
          <t>Master's Degree</t>
        </is>
      </c>
      <c r="C23" s="23" t="n">
        <v>2</v>
      </c>
      <c r="D23" s="23" t="inlineStr">
        <is>
          <t>Negotiations 401</t>
        </is>
      </c>
      <c r="E23" s="23" t="n">
        <v>200</v>
      </c>
      <c r="F23" s="23" t="n">
        <v>2</v>
      </c>
      <c r="G23" s="23" t="n">
        <v>4</v>
      </c>
      <c r="H23" s="23" t="inlineStr">
        <is>
          <t>High</t>
        </is>
      </c>
      <c r="I23" s="23" t="n">
        <v>0.05</v>
      </c>
      <c r="J23" s="37" t="n">
        <v>0.02</v>
      </c>
    </row>
    <row r="24" ht="15" customHeight="1" s="24">
      <c r="A24" s="23" t="n">
        <v>4</v>
      </c>
      <c r="B24" s="23" t="inlineStr">
        <is>
          <t>Master's Degree</t>
        </is>
      </c>
      <c r="C24" s="23" t="n">
        <v>3</v>
      </c>
      <c r="D24" s="23" t="inlineStr">
        <is>
          <t>Promotions 401</t>
        </is>
      </c>
      <c r="E24" s="23" t="n">
        <v>200</v>
      </c>
      <c r="F24" s="23" t="n">
        <v>2</v>
      </c>
      <c r="G24" s="23" t="n">
        <v>4</v>
      </c>
      <c r="H24" s="23" t="inlineStr">
        <is>
          <t>High</t>
        </is>
      </c>
      <c r="I24" s="23" t="n">
        <v>0.05</v>
      </c>
      <c r="J24" s="37" t="n">
        <v>0.02</v>
      </c>
    </row>
    <row r="25" ht="15" customHeight="1" s="24">
      <c r="A25" s="23" t="n">
        <v>4</v>
      </c>
      <c r="B25" s="23" t="inlineStr">
        <is>
          <t>Master's Degree</t>
        </is>
      </c>
      <c r="C25" s="23" t="n">
        <v>4</v>
      </c>
      <c r="D25" s="23" t="inlineStr">
        <is>
          <t>Statistics 401</t>
        </is>
      </c>
      <c r="E25" s="23" t="n">
        <v>200</v>
      </c>
      <c r="F25" s="23" t="n">
        <v>2</v>
      </c>
      <c r="G25" s="23" t="n">
        <v>4</v>
      </c>
      <c r="H25" s="23" t="inlineStr">
        <is>
          <t>High</t>
        </is>
      </c>
      <c r="I25" s="23" t="n">
        <v>0.05</v>
      </c>
      <c r="J25" s="37" t="n">
        <v>0.02</v>
      </c>
    </row>
    <row r="26" ht="15" customHeight="1" s="24">
      <c r="A26" s="23" t="n">
        <v>4</v>
      </c>
      <c r="B26" s="23" t="inlineStr">
        <is>
          <t>Master's Degree</t>
        </is>
      </c>
      <c r="C26" s="23" t="n">
        <v>5</v>
      </c>
      <c r="D26" s="23" t="inlineStr">
        <is>
          <t>Market Research 401</t>
        </is>
      </c>
      <c r="E26" s="23" t="n">
        <v>200</v>
      </c>
      <c r="F26" s="23" t="n">
        <v>2</v>
      </c>
      <c r="G26" s="23" t="n">
        <v>4</v>
      </c>
      <c r="H26" s="23" t="inlineStr">
        <is>
          <t>High</t>
        </is>
      </c>
      <c r="I26" s="23" t="n">
        <v>0.05</v>
      </c>
      <c r="J26" s="37" t="n">
        <v>0.02</v>
      </c>
    </row>
    <row r="27" ht="15" customHeight="1" s="24">
      <c r="A27" s="23" t="n">
        <v>4</v>
      </c>
      <c r="B27" s="23" t="inlineStr">
        <is>
          <t>Master's Degree</t>
        </is>
      </c>
      <c r="C27" s="23" t="n">
        <v>6</v>
      </c>
      <c r="D27" s="23" t="inlineStr">
        <is>
          <t>Investing 401</t>
        </is>
      </c>
      <c r="E27" s="23" t="n">
        <v>200</v>
      </c>
      <c r="F27" s="23" t="n">
        <v>2</v>
      </c>
      <c r="G27" s="23" t="n">
        <v>4</v>
      </c>
      <c r="H27" s="23" t="inlineStr">
        <is>
          <t>High</t>
        </is>
      </c>
      <c r="I27" s="23" t="n">
        <v>0.05</v>
      </c>
      <c r="J27" s="37" t="n">
        <v>0.02</v>
      </c>
    </row>
    <row r="28" ht="15" customHeight="1" s="24">
      <c r="A28" s="23" t="n">
        <v>5</v>
      </c>
      <c r="B28" s="23" t="inlineStr">
        <is>
          <t>PhD</t>
        </is>
      </c>
      <c r="C28" s="23" t="n">
        <v>1</v>
      </c>
      <c r="D28" s="23" t="inlineStr">
        <is>
          <t>Research 501</t>
        </is>
      </c>
      <c r="E28" s="23" t="n">
        <v>250</v>
      </c>
      <c r="F28" s="23" t="n">
        <v>2.5</v>
      </c>
      <c r="G28" s="23" t="n">
        <v>5</v>
      </c>
      <c r="H28" s="23" t="inlineStr">
        <is>
          <t>Max</t>
        </is>
      </c>
      <c r="I28" s="23" t="n">
        <v>0.06</v>
      </c>
      <c r="J28" s="37" t="n">
        <v>0.025</v>
      </c>
    </row>
    <row r="29" ht="15" customHeight="1" s="24">
      <c r="A29" s="23" t="n">
        <v>5</v>
      </c>
      <c r="B29" s="23" t="inlineStr">
        <is>
          <t>PhD</t>
        </is>
      </c>
      <c r="C29" s="23" t="n">
        <v>2</v>
      </c>
      <c r="D29" s="23" t="inlineStr">
        <is>
          <t>Power Law 501</t>
        </is>
      </c>
      <c r="E29" s="23" t="n">
        <v>250</v>
      </c>
      <c r="F29" s="23" t="n">
        <v>2.5</v>
      </c>
      <c r="G29" s="23" t="n">
        <v>5</v>
      </c>
      <c r="H29" s="23" t="inlineStr">
        <is>
          <t>Max</t>
        </is>
      </c>
      <c r="I29" s="23" t="n">
        <v>0.06</v>
      </c>
      <c r="J29" s="37" t="n">
        <v>0.025</v>
      </c>
    </row>
    <row r="30" ht="15" customHeight="1" s="24">
      <c r="A30" s="23" t="n">
        <v>5</v>
      </c>
      <c r="B30" s="23" t="inlineStr">
        <is>
          <t>PhD</t>
        </is>
      </c>
      <c r="C30" s="23" t="n">
        <v>3</v>
      </c>
      <c r="D30" s="23" t="inlineStr">
        <is>
          <t>AI 501</t>
        </is>
      </c>
      <c r="E30" s="23" t="n">
        <v>250</v>
      </c>
      <c r="F30" s="23" t="n">
        <v>2.5</v>
      </c>
      <c r="G30" s="23" t="n">
        <v>5</v>
      </c>
      <c r="H30" s="23" t="inlineStr">
        <is>
          <t>Max</t>
        </is>
      </c>
      <c r="I30" s="23" t="n">
        <v>0.06</v>
      </c>
      <c r="J30" s="37" t="n">
        <v>0.025</v>
      </c>
    </row>
    <row r="31" ht="15" customHeight="1" s="24">
      <c r="A31" s="23" t="n">
        <v>5</v>
      </c>
      <c r="B31" s="23" t="inlineStr">
        <is>
          <t>PhD</t>
        </is>
      </c>
      <c r="C31" s="23" t="n">
        <v>4</v>
      </c>
      <c r="D31" s="23" t="inlineStr">
        <is>
          <t>Business Law 501</t>
        </is>
      </c>
      <c r="E31" s="23" t="n">
        <v>250</v>
      </c>
      <c r="F31" s="23" t="n">
        <v>2.5</v>
      </c>
      <c r="G31" s="23" t="n">
        <v>5</v>
      </c>
      <c r="H31" s="23" t="inlineStr">
        <is>
          <t>Max</t>
        </is>
      </c>
      <c r="I31" s="23" t="n">
        <v>0.06</v>
      </c>
      <c r="J31" s="37" t="n">
        <v>0.025</v>
      </c>
    </row>
    <row r="32" ht="15" customHeight="1" s="24">
      <c r="A32" s="23" t="n">
        <v>5</v>
      </c>
      <c r="B32" s="23" t="inlineStr">
        <is>
          <t>PhD</t>
        </is>
      </c>
      <c r="C32" s="23" t="n">
        <v>5</v>
      </c>
      <c r="D32" s="23" t="inlineStr">
        <is>
          <t>Multinational Expansion 501</t>
        </is>
      </c>
      <c r="E32" s="23" t="n">
        <v>250</v>
      </c>
      <c r="F32" s="23" t="n">
        <v>2.5</v>
      </c>
      <c r="G32" s="23" t="n">
        <v>5</v>
      </c>
      <c r="H32" s="23" t="inlineStr">
        <is>
          <t>Max</t>
        </is>
      </c>
      <c r="I32" s="23" t="n">
        <v>0.06</v>
      </c>
      <c r="J32" s="37" t="n">
        <v>0.025</v>
      </c>
    </row>
    <row r="33" ht="15" customHeight="1" s="24">
      <c r="A33" s="23" t="n">
        <v>5</v>
      </c>
      <c r="B33" s="23" t="inlineStr">
        <is>
          <t>PhD</t>
        </is>
      </c>
      <c r="C33" s="23" t="n">
        <v>6</v>
      </c>
      <c r="D33" s="23" t="inlineStr">
        <is>
          <t>Strategic Alliance 501</t>
        </is>
      </c>
      <c r="E33" s="23" t="n">
        <v>250</v>
      </c>
      <c r="F33" s="23" t="n">
        <v>2.5</v>
      </c>
      <c r="G33" s="23" t="n">
        <v>5</v>
      </c>
      <c r="H33" s="23" t="inlineStr">
        <is>
          <t>Max</t>
        </is>
      </c>
      <c r="I33" s="23" t="n">
        <v>0.06</v>
      </c>
      <c r="J33" s="37" t="n">
        <v>0.025</v>
      </c>
    </row>
    <row r="35" ht="15" customHeight="1" s="24">
      <c r="A35" s="28" t="inlineStr">
        <is>
          <t>PATH TOTALS</t>
        </is>
      </c>
    </row>
    <row r="36" ht="15" customHeight="1" s="24">
      <c r="A36" s="31" t="inlineStr">
        <is>
          <t>Path</t>
        </is>
      </c>
      <c r="B36" s="31" t="inlineStr">
        <is>
          <t>Level Name</t>
        </is>
      </c>
      <c r="C36" s="31" t="inlineStr">
        <is>
          <t>Total cost $ (Short)</t>
        </is>
      </c>
      <c r="D36" s="31" t="inlineStr">
        <is>
          <t>Total clicks / Time Units</t>
        </is>
      </c>
      <c r="E36" s="31" t="inlineStr">
        <is>
          <t>Required for</t>
        </is>
      </c>
      <c r="F36" s="31" t="inlineStr">
        <is>
          <t>Cumulative cost $</t>
        </is>
      </c>
      <c r="G36" s="31" t="inlineStr">
        <is>
          <t>Cumulative clicks</t>
        </is>
      </c>
    </row>
    <row r="37" ht="15" customHeight="1" s="24">
      <c r="A37" s="23" t="n">
        <v>1</v>
      </c>
      <c r="B37" s="23" t="inlineStr">
        <is>
          <t>Technical Certification</t>
        </is>
      </c>
      <c r="C37" s="23" t="n">
        <v>300</v>
      </c>
      <c r="D37" s="23" t="n">
        <v>6</v>
      </c>
      <c r="E37" s="23" t="inlineStr">
        <is>
          <t>Low+ tier jobs</t>
        </is>
      </c>
      <c r="F37" s="23" t="n">
        <v>300</v>
      </c>
      <c r="G37" s="23" t="n">
        <v>6</v>
      </c>
    </row>
    <row r="38" ht="15" customHeight="1" s="24">
      <c r="A38" s="23" t="n">
        <v>2</v>
      </c>
      <c r="B38" s="23" t="inlineStr">
        <is>
          <t>College Diploma</t>
        </is>
      </c>
      <c r="C38" s="23" t="n">
        <v>600</v>
      </c>
      <c r="D38" s="23" t="n">
        <v>12</v>
      </c>
      <c r="E38" s="23" t="inlineStr">
        <is>
          <t>Mid tier jobs</t>
        </is>
      </c>
      <c r="F38" s="23" t="n">
        <v>900</v>
      </c>
      <c r="G38" s="23" t="n">
        <v>18</v>
      </c>
    </row>
    <row r="39" ht="15" customHeight="1" s="24">
      <c r="A39" s="23" t="n">
        <v>3</v>
      </c>
      <c r="B39" s="23" t="inlineStr">
        <is>
          <t>College Degree</t>
        </is>
      </c>
      <c r="C39" s="23" t="n">
        <v>900</v>
      </c>
      <c r="D39" s="23" t="n">
        <v>18</v>
      </c>
      <c r="E39" s="23" t="inlineStr">
        <is>
          <t>Mid+ tier jobs</t>
        </is>
      </c>
      <c r="F39" s="23" t="n">
        <v>1800</v>
      </c>
      <c r="G39" s="23" t="n">
        <v>36</v>
      </c>
    </row>
    <row r="40" ht="15" customHeight="1" s="24">
      <c r="A40" s="23" t="n">
        <v>4</v>
      </c>
      <c r="B40" s="23" t="inlineStr">
        <is>
          <t>Master's Degree</t>
        </is>
      </c>
      <c r="C40" s="23" t="n">
        <v>1200</v>
      </c>
      <c r="D40" s="23" t="n">
        <v>24</v>
      </c>
      <c r="E40" s="23" t="inlineStr">
        <is>
          <t>High tier jobs</t>
        </is>
      </c>
      <c r="F40" s="23" t="n">
        <v>3000</v>
      </c>
      <c r="G40" s="23" t="n">
        <v>60</v>
      </c>
    </row>
    <row r="41" ht="15" customHeight="1" s="24">
      <c r="A41" s="23" t="n">
        <v>5</v>
      </c>
      <c r="B41" s="23" t="inlineStr">
        <is>
          <t>PhD</t>
        </is>
      </c>
      <c r="C41" s="23" t="n">
        <v>1500</v>
      </c>
      <c r="D41" s="23" t="n">
        <v>30</v>
      </c>
      <c r="E41" s="23" t="inlineStr">
        <is>
          <t>Max tier jobs</t>
        </is>
      </c>
      <c r="F41" s="23" t="n">
        <v>4500</v>
      </c>
      <c r="G41" s="23" t="n">
        <v>90</v>
      </c>
    </row>
    <row r="43" ht="15" customHeight="1" s="24">
      <c r="A43" s="28" t="inlineStr">
        <is>
          <t>UNLOCK RULES</t>
        </is>
      </c>
    </row>
    <row r="44" ht="15" customHeight="1" s="24">
      <c r="A44" s="26" t="inlineStr">
        <is>
          <t>Order within a path</t>
        </is>
      </c>
      <c r="B44" s="23" t="inlineStr">
        <is>
          <t>Course 1 must be completed before course 2 becomes available, and so on. Completing a course immediately unlocks the next one in that path.</t>
        </is>
      </c>
    </row>
    <row r="45" ht="15" customHeight="1" s="24">
      <c r="A45" s="26" t="inlineStr">
        <is>
          <t>Order between paths</t>
        </is>
      </c>
      <c r="B45" s="23" t="inlineStr">
        <is>
          <t>Path N+1 is locked until ALL SIX courses of path N are complete. Path 1 is available from the start of the game.</t>
        </is>
      </c>
    </row>
    <row r="46" ht="15" customHeight="1" s="24">
      <c r="A46" s="26" t="inlineStr">
        <is>
          <t>Completed courses</t>
        </is>
      </c>
      <c r="B46" s="23" t="inlineStr">
        <is>
          <t>Greyed out and unselectable. Each course can be completed only once; a completed path can never be repeated or re-purchased.</t>
        </is>
      </c>
    </row>
    <row r="47" ht="15" customHeight="1" s="24">
      <c r="A47" s="26" t="inlineStr">
        <is>
          <t>Partial progress</t>
        </is>
      </c>
      <c r="B47" s="23" t="inlineStr">
        <is>
          <t>Clicks accumulate on the course in progress. A course started but not finished keeps its progress between turns and must be finished before the next course unlocks.</t>
        </is>
      </c>
    </row>
    <row r="48" ht="15" customHeight="1" s="24">
      <c r="A48" s="26" t="inlineStr">
        <is>
          <t>Payment</t>
        </is>
      </c>
      <c r="B48" s="23" t="inlineStr">
        <is>
          <t>The course cost is charged once, when the first click on that course is spent. If the player cannot afford it, the course is unavailable.</t>
        </is>
      </c>
    </row>
    <row r="49" ht="15" customHeight="1" s="24">
      <c r="A49" s="26" t="inlineStr">
        <is>
          <t>Job gating</t>
        </is>
      </c>
      <c r="B49" s="23" t="inlineStr">
        <is>
          <t>Path 1 complete = eligible for Low+ jobs. Path 2 = Mid. Path 3 = Mid+. Path 4 = High. Path 5 = Max. Low tier jobs require no education. Education is necessary but NOT sufficient: the work-click requirement in Job_Progression must also be met.</t>
        </is>
      </c>
    </row>
    <row r="50" ht="15" customHeight="1" s="24">
      <c r="A50" s="26" t="inlineStr">
        <is>
          <t>Fix from v4</t>
        </is>
      </c>
      <c r="B50" s="23" t="inlineStr">
        <is>
          <t>The old Take Class / Finish Undergrad / Finish Master's / Finish PhD actions are REMOVED and replaced entirely by these 30 courses. This also fixes the bug where school courses were unavailable.</t>
        </is>
      </c>
    </row>
    <row r="52" ht="60" customHeight="1" s="24">
      <c r="A52" s="26" t="inlineStr">
        <is>
          <t>CAREER GAIN HALVED IN v6</t>
        </is>
      </c>
      <c r="B52" s="30" t="inlineStr">
        <is>
          <t>Career per course is now 0.5%B / 1%B / 1.5%B / 2%B / 2.5%B for paths 1-5 (path totals 3 / 6 / 9 / 12 / 15 = 45 points at Short, down from 90). Critical Thinking gains are unchanged. In v5 the 30 courses alone delivered 90% of a Short game's Career bar, which is most of why Career was trivial to max. Course Career gain is also subject to the per-turn diminishing-returns rule in Settings.</t>
        </is>
      </c>
    </row>
  </sheetData>
  <mergeCells count="2">
    <mergeCell ref="A1:J1"/>
    <mergeCell ref="B52:J5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3" min="1" max="1"/>
    <col width="26" customWidth="1" style="23" min="2" max="3"/>
    <col width="44" customWidth="1" style="23" min="4" max="4"/>
    <col width="20" customWidth="1" style="23" min="5" max="5"/>
    <col width="12" customWidth="1" style="23" min="6" max="6"/>
  </cols>
  <sheetData>
    <row r="1" ht="15" customHeight="1" s="24">
      <c r="A1" s="26" t="inlineStr">
        <is>
          <t>JOB TIER PROGRESSION (rebuilt in v5). Promotions are REMOVED. There is no requirement to stay in one job, and no promotion action. Instead, tier eligibility is earned by accumulating WORK CLICKS and completing EDUCATION PATHS. A work click = one Work action (2 Time Units). Clicks accumulate per tier, permanently, across every building.</t>
        </is>
      </c>
    </row>
    <row r="3" ht="15" customHeight="1" s="24">
      <c r="A3" s="31" t="inlineStr">
        <is>
          <t>Target tier</t>
        </is>
      </c>
      <c r="B3" s="31" t="inlineStr">
        <is>
          <t>Work-click requirement</t>
        </is>
      </c>
      <c r="C3" s="31" t="inlineStr">
        <is>
          <t>Alternate route</t>
        </is>
      </c>
      <c r="D3" s="31" t="inlineStr">
        <is>
          <t>Education required</t>
        </is>
      </c>
      <c r="E3" s="31" t="inlineStr">
        <is>
          <t>Pay per click $ (Short)</t>
        </is>
      </c>
      <c r="F3" s="31" t="inlineStr">
        <is>
          <t>Pay %B</t>
        </is>
      </c>
      <c r="G3" s="35" t="inlineStr">
        <is>
          <t>Career gain per click (v6)</t>
        </is>
      </c>
    </row>
    <row r="4" ht="15" customHeight="1" s="24">
      <c r="A4" s="23" t="inlineStr">
        <is>
          <t>Low</t>
        </is>
      </c>
      <c r="B4" s="23" t="inlineStr">
        <is>
          <t>None — entry tier</t>
        </is>
      </c>
      <c r="C4" s="23" t="inlineStr">
        <is>
          <t>—</t>
        </is>
      </c>
      <c r="D4" s="23" t="inlineStr">
        <is>
          <t>None</t>
        </is>
      </c>
      <c r="E4" s="23" t="n">
        <v>40</v>
      </c>
      <c r="F4" s="23" t="n">
        <v>0.4</v>
      </c>
      <c r="G4" s="37" t="n">
        <v>2</v>
      </c>
    </row>
    <row r="5" ht="15" customHeight="1" s="24">
      <c r="A5" s="23" t="inlineStr">
        <is>
          <t>Low+</t>
        </is>
      </c>
      <c r="B5" s="23" t="inlineStr">
        <is>
          <t>10 clicks at Low</t>
        </is>
      </c>
      <c r="C5" s="23" t="inlineStr">
        <is>
          <t>—</t>
        </is>
      </c>
      <c r="D5" s="23" t="inlineStr">
        <is>
          <t>Path 1 complete (Technical Certification)</t>
        </is>
      </c>
      <c r="E5" s="23" t="n">
        <v>65</v>
      </c>
      <c r="F5" s="23" t="n">
        <v>0.65</v>
      </c>
      <c r="G5" s="37" t="n">
        <v>2</v>
      </c>
    </row>
    <row r="6" ht="15" customHeight="1" s="24">
      <c r="A6" s="23" t="inlineStr">
        <is>
          <t>Mid</t>
        </is>
      </c>
      <c r="B6" s="23" t="inlineStr">
        <is>
          <t>15 clicks at Low+</t>
        </is>
      </c>
      <c r="C6" s="23" t="inlineStr">
        <is>
          <t>OR 20 clicks at Low</t>
        </is>
      </c>
      <c r="D6" s="23" t="inlineStr">
        <is>
          <t>Path 2 complete (College Diploma)</t>
        </is>
      </c>
      <c r="E6" s="23" t="n">
        <v>110</v>
      </c>
      <c r="F6" s="23" t="n">
        <v>1.1</v>
      </c>
      <c r="G6" s="37" t="n">
        <v>3</v>
      </c>
    </row>
    <row r="7" ht="15" customHeight="1" s="24">
      <c r="A7" s="23" t="inlineStr">
        <is>
          <t>Mid+</t>
        </is>
      </c>
      <c r="B7" s="23" t="inlineStr">
        <is>
          <t>20 clicks at Mid</t>
        </is>
      </c>
      <c r="C7" s="23" t="inlineStr">
        <is>
          <t>—</t>
        </is>
      </c>
      <c r="D7" s="23" t="inlineStr">
        <is>
          <t>Path 3 complete (College Degree)</t>
        </is>
      </c>
      <c r="E7" s="23" t="n">
        <v>170</v>
      </c>
      <c r="F7" s="23" t="n">
        <v>1.7</v>
      </c>
      <c r="G7" s="37" t="n">
        <v>3</v>
      </c>
    </row>
    <row r="8" ht="15" customHeight="1" s="24">
      <c r="A8" s="23" t="inlineStr">
        <is>
          <t>High</t>
        </is>
      </c>
      <c r="B8" s="23" t="inlineStr">
        <is>
          <t>25 clicks at Mid+</t>
        </is>
      </c>
      <c r="C8" s="23" t="inlineStr">
        <is>
          <t>OR 30 clicks at Mid</t>
        </is>
      </c>
      <c r="D8" s="23" t="inlineStr">
        <is>
          <t>Path 4 complete (Master's Degree)</t>
        </is>
      </c>
      <c r="E8" s="23" t="n">
        <v>260</v>
      </c>
      <c r="F8" s="23" t="n">
        <v>2.6</v>
      </c>
      <c r="G8" s="37" t="n">
        <v>4</v>
      </c>
    </row>
    <row r="9" ht="15" customHeight="1" s="24">
      <c r="A9" s="23" t="inlineStr">
        <is>
          <t>Max</t>
        </is>
      </c>
      <c r="B9" s="23" t="inlineStr">
        <is>
          <t>40 clicks at High</t>
        </is>
      </c>
      <c r="C9" s="23" t="inlineStr">
        <is>
          <t>—</t>
        </is>
      </c>
      <c r="D9" s="23" t="inlineStr">
        <is>
          <t>Path 5 complete (PhD)</t>
        </is>
      </c>
      <c r="E9" s="23" t="n">
        <v>400</v>
      </c>
      <c r="F9" s="23" t="n">
        <v>4</v>
      </c>
      <c r="G9" s="37" t="n">
        <v>5</v>
      </c>
    </row>
    <row r="11" ht="15" customHeight="1" s="24">
      <c r="A11" s="28" t="inlineStr">
        <is>
          <t>RULES</t>
        </is>
      </c>
    </row>
    <row r="12" ht="15" customHeight="1" s="24">
      <c r="A12" s="26" t="inlineStr">
        <is>
          <t>Both conditions required</t>
        </is>
      </c>
      <c r="B12" s="23" t="inlineStr">
        <is>
          <t>A tier unlocks only when BOTH the work-click count AND the education path are satisfied. Either one alone is not enough.</t>
        </is>
      </c>
    </row>
    <row r="13" ht="15" customHeight="1" s="24">
      <c r="A13" s="26" t="inlineStr">
        <is>
          <t>No promotion action</t>
        </is>
      </c>
      <c r="B13" s="23" t="inlineStr">
        <is>
          <t>Ask for Promotion is removed from Corporate Soul Exchange. Players change jobs freely at the job board whenever they are eligible.</t>
        </is>
      </c>
    </row>
    <row r="14" ht="15" customHeight="1" s="24">
      <c r="A14" s="26" t="inlineStr">
        <is>
          <t>No loyalty requirement</t>
        </is>
      </c>
      <c r="B14" s="23" t="inlineStr">
        <is>
          <t>There is no minimum time in a job before moving to another job, in the same building or any other.</t>
        </is>
      </c>
    </row>
    <row r="15" ht="15" customHeight="1" s="24">
      <c r="A15" s="26" t="inlineStr">
        <is>
          <t>Clicks are per tier</t>
        </is>
      </c>
      <c r="B15" s="23" t="inlineStr">
        <is>
          <t>Work clicks are counted against the tier of the job that was worked. Working a Low job accumulates Low clicks even after Low+ is unlocked.</t>
        </is>
      </c>
    </row>
    <row r="16" ht="15" customHeight="1" s="24">
      <c r="A16" s="26" t="inlineStr">
        <is>
          <t>Clicks are global</t>
        </is>
      </c>
      <c r="B16" s="23" t="inlineStr">
        <is>
          <t>Clicks accumulate across every building. Ten Low clicks at Regret Burger and zero elsewhere still satisfies the Low+ gate.</t>
        </is>
      </c>
    </row>
    <row r="17" ht="15" customHeight="1" s="24">
      <c r="A17" s="26" t="inlineStr">
        <is>
          <t>Alternate routes</t>
        </is>
      </c>
      <c r="B17" s="23" t="inlineStr">
        <is>
          <t>Mid and High have a slower alternate route from the tier below the expected one, so a player who skipped a tier is not permanently blocked.</t>
        </is>
      </c>
    </row>
    <row r="18" ht="15" customHeight="1" s="24">
      <c r="A18" s="26" t="inlineStr">
        <is>
          <t>Total to Max tier</t>
        </is>
      </c>
      <c r="B18" s="23" t="inlineStr">
        <is>
          <t>10 + 15 + 20 + 25 + 40 = 110 work clicks (220 Time Units) plus 90 study clicks (90 Time Units). See the pacing warning below.</t>
        </is>
      </c>
    </row>
    <row r="20" ht="15" customHeight="1" s="24">
      <c r="A20" s="39" t="inlineStr">
        <is>
          <t>PACING WARNING — NEEDS A DECISION BEFORE BUILD</t>
        </is>
      </c>
    </row>
    <row r="21" ht="15" customHeight="1" s="24">
      <c r="A21" s="23" t="inlineStr">
        <is>
          <t>The click gates above are absolute numbers, so they do not shrink in shorter games. Reaching Max tier costs 220 Time Units of work plus 90 of study = 310 Time Units. At 6 Time Units per turn, and with players also needing to eat, relax, pay rent and travel, that is roughly 70-90 turns of near-total career focus. A Short game (20 uses to max a stat) will realistically never reach High or Max tier.</t>
        </is>
      </c>
    </row>
    <row r="22" ht="15" customHeight="1" s="24">
      <c r="A22" s="26" t="inlineStr">
        <is>
          <t>OPTION A (as specified, default in this file)</t>
        </is>
      </c>
      <c r="B22" s="23" t="inlineStr">
        <is>
          <t>Keep absolute gates. Short games are capped in practice at Low+/Mid tier; High and Max become Long-game achievements. Simple, and makes the tiers feel earned.</t>
        </is>
      </c>
    </row>
    <row r="23" ht="15" customHeight="1" s="24">
      <c r="A23" s="26" t="inlineStr">
        <is>
          <t>OPTION B (recommended alternative)</t>
        </is>
      </c>
      <c r="B23" s="23" t="inlineStr">
        <is>
          <t>Scale the gates by mode so every length can reach the top: Short = 40% of the listed clicks, Medium = 70%, Long = 100%. Example for Low+: 4 clicks Short, 7 Medium, 10 Long.</t>
        </is>
      </c>
    </row>
    <row r="25" ht="15" customHeight="1" s="24">
      <c r="A25" s="28" t="inlineStr">
        <is>
          <t>Mode-scaled gates if Option B is chosen</t>
        </is>
      </c>
    </row>
    <row r="26" ht="15" customHeight="1" s="24">
      <c r="A26" s="31" t="inlineStr">
        <is>
          <t>Target tier</t>
        </is>
      </c>
      <c r="B26" s="31" t="inlineStr">
        <is>
          <t>Long (100%)</t>
        </is>
      </c>
      <c r="C26" s="31" t="inlineStr">
        <is>
          <t>Medium (70%)</t>
        </is>
      </c>
      <c r="D26" s="31" t="inlineStr">
        <is>
          <t>Short (40%)</t>
        </is>
      </c>
    </row>
    <row r="27" ht="15" customHeight="1" s="24">
      <c r="A27" s="23" t="inlineStr">
        <is>
          <t>Low+</t>
        </is>
      </c>
      <c r="B27" s="23" t="n">
        <v>10</v>
      </c>
      <c r="C27" s="23" t="n">
        <v>7</v>
      </c>
      <c r="D27" s="23" t="n">
        <v>4</v>
      </c>
    </row>
    <row r="28" ht="15" customHeight="1" s="24">
      <c r="A28" s="23" t="inlineStr">
        <is>
          <t>Mid</t>
        </is>
      </c>
      <c r="B28" s="23" t="n">
        <v>15</v>
      </c>
      <c r="C28" s="23" t="n">
        <v>10</v>
      </c>
      <c r="D28" s="23" t="n">
        <v>6</v>
      </c>
    </row>
    <row r="29" ht="15" customHeight="1" s="24">
      <c r="A29" s="23" t="inlineStr">
        <is>
          <t>Mid+</t>
        </is>
      </c>
      <c r="B29" s="23" t="n">
        <v>20</v>
      </c>
      <c r="C29" s="23" t="n">
        <v>14</v>
      </c>
      <c r="D29" s="23" t="n">
        <v>8</v>
      </c>
    </row>
    <row r="30" ht="15" customHeight="1" s="24">
      <c r="A30" s="23" t="inlineStr">
        <is>
          <t>High</t>
        </is>
      </c>
      <c r="B30" s="23" t="n">
        <v>25</v>
      </c>
      <c r="C30" s="23" t="n">
        <v>18</v>
      </c>
      <c r="D30" s="23" t="n">
        <v>10</v>
      </c>
    </row>
    <row r="31" ht="15" customHeight="1" s="24">
      <c r="A31" s="23" t="inlineStr">
        <is>
          <t>Max</t>
        </is>
      </c>
      <c r="B31" s="23" t="n">
        <v>40</v>
      </c>
      <c r="C31" s="23" t="n">
        <v>28</v>
      </c>
      <c r="D31" s="23" t="n">
        <v>16</v>
      </c>
    </row>
    <row r="33" ht="54.75" customHeight="1" s="24">
      <c r="A33" s="26" t="inlineStr">
        <is>
          <t>CAREER PATCH v6</t>
        </is>
      </c>
      <c r="B33" s="30" t="inlineStr">
        <is>
          <t>Career gain per work click is set here and in Jobs_Named, and nowhere else. It was 3 / 5 / 7 / 10 by tier in v5 and is now 2 / 2 / 3 / 3 / 4 / 5 across the six tiers. The Work rows in Actions_Master no longer grant Career at all.</t>
        </is>
      </c>
    </row>
    <row r="34" ht="54.75" customHeight="1" s="24">
      <c r="A34" s="26" t="inlineStr">
        <is>
          <t>Per-turn diminishing returns</t>
        </is>
      </c>
      <c r="B34" s="30" t="inlineStr">
        <is>
          <t>Within one turn, the 1st Career-granting action gives 100% of its value, the 2nd gives 50%, the 3rd 25%, and the 4th and later 10%. Rounded down, minimum 1 point per action. This applies to every Career source — work clicks, Work From Home, university courses, and the Corporate side actions — in the order taken. It does NOT apply to Money, to any other stat, or to card effects.</t>
        </is>
      </c>
    </row>
    <row r="35" ht="54.75" customHeight="1" s="24">
      <c r="A35" s="26" t="inlineStr">
        <is>
          <t>What that does</t>
        </is>
      </c>
      <c r="B35" s="30" t="inlineStr">
        <is>
          <t>Three work clicks at Mid tier used to be +18 Career a turn (and +30 with resume spam). It is now 3 + 1.5 + 0.75 = 5 points. Maxing Career at the Short cap of 100 goes from under 4 turns of focus to roughly 20 — the same order of magnitude as the other three main stats.</t>
        </is>
      </c>
    </row>
    <row r="36" ht="54.75" customHeight="1" s="24">
      <c r="A36" s="26" t="inlineStr">
        <is>
          <t>DECISION STILL OPEN</t>
        </is>
      </c>
      <c r="B36" s="30" t="inlineStr">
        <is>
          <t>Option A vs Option B on the click gates above is still unresolved. With the v6 turn limit, OPTION B (Short 40% / Medium 70% / Long 100%) is now the recommended choice: a 20-turn game cannot reach 110 work clicks under Option A, so the top half of the freshly re-ordered job ladder would be visible but permanently unreachable.</t>
        </is>
      </c>
    </row>
  </sheetData>
  <mergeCells count="6">
    <mergeCell ref="B36:H36"/>
    <mergeCell ref="A21:H21"/>
    <mergeCell ref="B35:H35"/>
    <mergeCell ref="B33:H33"/>
    <mergeCell ref="A1:H1"/>
    <mergeCell ref="B34:H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outlinePr summaryBelow="1" summaryRight="1"/>
    <pageSetUpPr/>
  </sheetPr>
  <dimension ref="A1:C25"/>
  <sheetViews>
    <sheetView workbookViewId="0">
      <pane ySplit="2" topLeftCell="A3" activePane="bottomLeft" state="frozen"/>
      <selection pane="bottomLeft" activeCell="A1" sqref="A1"/>
    </sheetView>
  </sheetViews>
  <sheetFormatPr baseColWidth="8" defaultRowHeight="15"/>
  <cols>
    <col width="42" customWidth="1" style="24" min="1" max="1"/>
    <col width="78" customWidth="1" style="24" min="2" max="2"/>
    <col width="78" customWidth="1" style="24" min="3" max="3"/>
  </cols>
  <sheetData>
    <row r="1">
      <c r="A1" t="inlineStr">
        <is>
          <t>BUILD NOTES v6.1 — what the live build does beyond Balance Lock v6. Keep this sheet when generating the next version.</t>
        </is>
      </c>
    </row>
    <row r="2">
      <c r="A2" t="inlineStr">
        <is>
          <t>Rule</t>
        </is>
      </c>
      <c r="B2" t="inlineStr">
        <is>
          <t>What the build does</t>
        </is>
      </c>
      <c r="C2" t="inlineStr">
        <is>
          <t>Why / origin</t>
        </is>
      </c>
    </row>
    <row r="3">
      <c r="A3" t="inlineStr">
        <is>
          <t>Time Units per turn</t>
        </is>
      </c>
      <c r="B3" t="inlineStr">
        <is>
          <t>40 by default, chosen on Game Setup (12-50)</t>
        </is>
      </c>
      <c r="C3" t="inlineStr">
        <is>
          <t>Austin's 2026-07-06 call. The sheet's pacing math assumes 6, so anything written as 'per turn' is far weaker in play.</t>
        </is>
      </c>
    </row>
    <row r="4">
      <c r="A4" t="inlineStr">
        <is>
          <t>Career in practice</t>
        </is>
      </c>
      <c r="B4" t="inlineStr">
        <is>
          <t>v6 curve implemented exactly (100/50/25/10, min 1)</t>
        </is>
      </c>
      <c r="C4" t="inlineStr">
        <is>
          <t>At 40 TU a player takes ~20 work clicks a turn, so Career still maxes around round 8. Lowering Time Units per turn is the lever.</t>
        </is>
      </c>
    </row>
    <row r="5">
      <c r="A5" t="inlineStr">
        <is>
          <t>Hunger / stress</t>
        </is>
      </c>
      <c r="B5" t="inlineStr">
        <is>
          <t>25% and 15% of the turn's Time Units; stress also costs 5%B Health and Happiness</t>
        </is>
      </c>
      <c r="C5" t="inlineStr">
        <is>
          <t>Chosen 2026-07-20, harsher than the flat -4 / -2 in the sheet.</t>
        </is>
      </c>
    </row>
    <row r="6">
      <c r="A6" t="inlineStr">
        <is>
          <t>Starting money</t>
        </is>
      </c>
      <c r="B6" t="inlineStr">
        <is>
          <t>$200 (2 x B), starting item Casual Clothes</t>
        </is>
      </c>
      <c r="C6" t="inlineStr">
        <is>
          <t>Mirrors the Homeless Support Cheque so turn 1 is playable.</t>
        </is>
      </c>
    </row>
    <row r="7">
      <c r="A7" t="inlineStr">
        <is>
          <t>Move-in and re-housing</t>
        </is>
      </c>
      <c r="B7" t="inlineStr">
        <is>
          <t>1.5 x that tier's rent (Low $150, Luxury $600)</t>
        </is>
      </c>
      <c r="C7" t="inlineStr">
        <is>
          <t>Deposit plus the first cycle's rent. Not specified in the sheet.</t>
        </is>
      </c>
    </row>
    <row r="8">
      <c r="A8" t="inlineStr">
        <is>
          <t>Pay Rent</t>
        </is>
      </c>
      <c r="B8" t="inlineStr">
        <is>
          <t>Always listed; four states; may be pre-paid, and a pre-payment survives the rent turn</t>
        </is>
      </c>
      <c r="C8" t="inlineStr">
        <is>
          <t>v6 spec implemented; pre-payment needed a rentPaidThrough marker so the rent-turn reset does not wipe it.</t>
        </is>
      </c>
    </row>
    <row r="9">
      <c r="A9" t="inlineStr">
        <is>
          <t>Final score</t>
        </is>
      </c>
      <c r="B9" t="inlineStr">
        <is>
          <t>Money counts at most T; the wallet itself stays uncapped</t>
        </is>
      </c>
      <c r="C9" t="inlineStr">
        <is>
          <t>Without this, v5's dollar economy let hoarded cash push scores past the 6T maximum.</t>
        </is>
      </c>
    </row>
    <row r="10">
      <c r="A10" t="inlineStr">
        <is>
          <t>Club jobs</t>
        </is>
      </c>
      <c r="B10" t="inlineStr">
        <is>
          <t>Coat Check, Bouncer and Bartender require the club dress code before you can take them</t>
        </is>
      </c>
      <c r="C10" t="inlineStr">
        <is>
          <t>Playtest bug: you could take a club job, never get past the bouncer, and be fired for missing every shift.</t>
        </is>
      </c>
    </row>
    <row r="11">
      <c r="A11" t="inlineStr">
        <is>
          <t>Play With Pet (Heelton)</t>
        </is>
      </c>
      <c r="B11" t="inlineStr">
        <is>
          <t>Added so Pet Bed and Pet Toys can fire in the luxury flat</t>
        </is>
      </c>
      <c r="C11" t="inlineStr">
        <is>
          <t>The sheet only gives Hang With Pet at Low Cost Housing.</t>
        </is>
      </c>
    </row>
    <row r="12">
      <c r="A12" t="inlineStr">
        <is>
          <t>Other build-only actions</t>
        </is>
      </c>
      <c r="B12" t="inlineStr">
        <is>
          <t>Eat at Home, Feed Pet (Heelton), Cash Out Investment, Re-house, Switch housing, three Coolness extras</t>
        </is>
      </c>
      <c r="C12" t="inlineStr">
        <is>
          <t>Rules the manual describes but the sheet has no row for.</t>
        </is>
      </c>
    </row>
    <row r="13">
      <c r="A13" t="inlineStr">
        <is>
          <t>Work From Home</t>
        </is>
      </c>
      <c r="B13" t="inlineStr">
        <is>
          <t>Counts as a work click and pays the job tier x 0.85</t>
        </is>
      </c>
      <c r="C13" t="inlineStr">
        <is>
          <t>v6 spec implemented.</t>
        </is>
      </c>
    </row>
    <row r="14">
      <c r="A14" t="inlineStr">
        <is>
          <t>Building wage multiplier</t>
        </is>
      </c>
      <c r="B14" t="inlineStr">
        <is>
          <t>Applied at the building your JOB is in</t>
        </is>
      </c>
      <c r="C14" t="inlineStr">
        <is>
          <t>You can only work where your job is, so the multiplier is effectively a property of the job.</t>
        </is>
      </c>
    </row>
    <row r="15">
      <c r="A15" t="inlineStr">
        <is>
          <t>Group Fitness Class (A122)</t>
        </is>
      </c>
      <c r="B15" t="inlineStr">
        <is>
          <t>In the game, but in the More drawer</t>
        </is>
      </c>
      <c r="C15" t="inlineStr">
        <is>
          <t>The gym menu art has no card for it yet.</t>
        </is>
      </c>
    </row>
    <row r="16">
      <c r="A16" t="inlineStr">
        <is>
          <t>Turns per game</t>
        </is>
      </c>
      <c r="B16" t="inlineStr">
        <is>
          <t>10/15/20/30/50/60/80/100 or unlimited; defaults 20/40/60; the player's choice is never reset</t>
        </is>
      </c>
      <c r="C16" t="inlineStr">
        <is>
          <t>The 15-turn bug was caused by 15 not being selectable and by Game Length resetting the value.</t>
        </is>
      </c>
    </row>
    <row r="17">
      <c r="A17" t="inlineStr">
        <is>
          <t>CPU difficulty</t>
        </is>
      </c>
      <c r="B17" t="inlineStr">
        <is>
          <t>Easy / Medium / Hard implemented, including the bot-only gain multiplier and a debug switch</t>
        </is>
      </c>
      <c r="C17" t="inlineStr">
        <is>
          <t>The multiplier can be turned off for balance runs (botMultOff).</t>
        </is>
      </c>
    </row>
    <row r="18">
      <c r="A18" t="inlineStr">
        <is>
          <t>Prices matching the painted menus</t>
        </is>
      </c>
      <c r="B18" t="inlineStr">
        <is>
          <t>Gym $5-$40; Pet Shop food $20, toy $25, feed $5, bathe $10; Heelton bath $20, fancy food $80, host $60, pet spa $80</t>
        </is>
      </c>
      <c r="C18" t="inlineStr">
        <is>
          <t>Approved 2026-09-16/17 to match the art. v6 was generated from the original v5 and reverted them; restored in v6.1.</t>
        </is>
      </c>
    </row>
    <row r="19">
      <c r="A19" t="inlineStr">
        <is>
          <t>Bribe Inspector</t>
        </is>
      </c>
      <c r="B19" t="inlineStr">
        <is>
          <t>$10 as the manual says</t>
        </is>
      </c>
      <c r="C19" t="inlineStr">
        <is>
          <t>The painted Bribes card still shows $50; art fix pending.</t>
        </is>
      </c>
    </row>
    <row r="20">
      <c r="A20" t="inlineStr">
        <is>
          <t>Mall prices on screen</t>
        </is>
      </c>
      <c r="B20" t="inlineStr">
        <is>
          <t>The game draws the live price over any stale painted price</t>
        </is>
      </c>
      <c r="C20" t="inlineStr">
        <is>
          <t>Keeps Medium and Long games correct too, where every price scales.</t>
        </is>
      </c>
    </row>
    <row r="21">
      <c r="A21" t="inlineStr">
        <is>
          <t>Weekend cards I09 / I10</t>
        </is>
      </c>
      <c r="B21" t="inlineStr">
        <is>
          <t>In play, shown with an icon instead of artwork</t>
        </is>
      </c>
      <c r="C21" t="inlineStr">
        <is>
          <t>SIDEWAYS MARKET and MARKET CRASH have no painted card yet.</t>
        </is>
      </c>
    </row>
    <row r="22">
      <c r="A22" t="inlineStr">
        <is>
          <t>University menu</t>
        </is>
      </c>
      <c r="B22" t="inlineStr">
        <is>
          <t>Every painted class/degree button opens the 30-course catalog; path cards show COMPLETE</t>
        </is>
      </c>
      <c r="C22" t="inlineStr">
        <is>
          <t>The old Take Class / Finish Degree buttons no longer exist.</t>
        </is>
      </c>
    </row>
    <row r="23">
      <c r="A23" t="inlineStr">
        <is>
          <t>Corporate Soul Exchange</t>
        </is>
      </c>
      <c r="B23" t="inlineStr">
        <is>
          <t>The painted Ask for Promotion card is now CAREER PROGRESS and opens the job board free</t>
        </is>
      </c>
      <c r="C23" t="inlineStr">
        <is>
          <t>Promotions were removed in v5.</t>
        </is>
      </c>
    </row>
    <row r="25">
      <c r="A25" t="inlineStr">
        <is>
          <t>PRICES RESTORED IN v6.1</t>
        </is>
      </c>
      <c r="B25" t="inlineStr">
        <is>
          <t>v6 was generated from the original v5 and reverted prices approved on 2026-09-16/17.</t>
        </is>
      </c>
      <c r="C25" t="inlineStr">
        <is>
          <t>See the Actions_Master Balance Notes marked v6.1.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2026-07-03T20:45:58Z</dcterms:created>
  <dcterms:modified xmlns:dcterms="http://purl.org/dc/terms/" xmlns:xsi="http://www.w3.org/2001/XMLSchema-instance" xsi:type="dcterms:W3CDTF">2026-09-21T01:01:50Z</dcterms:modified>
  <cp:revision>0</cp:revision>
</cp:coreProperties>
</file>